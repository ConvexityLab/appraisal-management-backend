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b51dfad295f291/Desktop/L1 Stuff/"/>
    </mc:Choice>
  </mc:AlternateContent>
  <xr:revisionPtr revIDLastSave="0" documentId="8_{4C5340D4-157C-47C1-9EC4-064EE45C49D6}" xr6:coauthVersionLast="47" xr6:coauthVersionMax="47" xr10:uidLastSave="{00000000-0000-0000-0000-000000000000}"/>
  <bookViews>
    <workbookView xWindow="-120" yWindow="-120" windowWidth="38640" windowHeight="21840" xr2:uid="{9D351A68-9A3D-4D6F-8D4A-BEDBBD21BEB5}"/>
  </bookViews>
  <sheets>
    <sheet name="Sheet1" sheetId="1" r:id="rId1"/>
  </sheets>
  <definedNames>
    <definedName name="_xlnm._FilterDatabase" localSheetId="0" hidden="1">Sheet1!$A$1:$S$145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 a="1"/>
  <c r="M23" i="1" s="1"/>
  <c r="R110" i="1"/>
  <c r="S110" i="1" s="1"/>
  <c r="P110" i="1"/>
  <c r="O110" i="1"/>
  <c r="L110" i="1"/>
  <c r="M110" i="1" s="1"/>
  <c r="I110" i="1"/>
  <c r="R109" i="1"/>
  <c r="S109" i="1" s="1"/>
  <c r="O109" i="1"/>
  <c r="L109" i="1"/>
  <c r="M109" i="1" s="1"/>
  <c r="I109" i="1"/>
  <c r="R108" i="1"/>
  <c r="S108" i="1" s="1"/>
  <c r="O108" i="1"/>
  <c r="L108" i="1"/>
  <c r="P108" i="1" s="1"/>
  <c r="I108" i="1"/>
  <c r="R107" i="1"/>
  <c r="S107" i="1" s="1"/>
  <c r="O107" i="1"/>
  <c r="L107" i="1"/>
  <c r="P107" i="1" s="1"/>
  <c r="I107" i="1"/>
  <c r="S106" i="1"/>
  <c r="R106" i="1"/>
  <c r="O106" i="1"/>
  <c r="L106" i="1"/>
  <c r="M106" i="1" s="1"/>
  <c r="I106" i="1"/>
  <c r="R105" i="1"/>
  <c r="S105" i="1" s="1"/>
  <c r="O105" i="1"/>
  <c r="L105" i="1"/>
  <c r="M105" i="1" s="1"/>
  <c r="I105" i="1"/>
  <c r="S104" i="1"/>
  <c r="R104" i="1"/>
  <c r="O104" i="1"/>
  <c r="L104" i="1"/>
  <c r="P104" i="1" s="1"/>
  <c r="I104" i="1"/>
  <c r="R103" i="1"/>
  <c r="S103" i="1" s="1"/>
  <c r="O103" i="1"/>
  <c r="L103" i="1"/>
  <c r="P103" i="1" s="1"/>
  <c r="I103" i="1"/>
  <c r="R102" i="1"/>
  <c r="S102" i="1" s="1"/>
  <c r="O102" i="1"/>
  <c r="L102" i="1"/>
  <c r="P102" i="1" s="1"/>
  <c r="I102" i="1"/>
  <c r="R101" i="1"/>
  <c r="S101" i="1" s="1"/>
  <c r="O101" i="1"/>
  <c r="L101" i="1"/>
  <c r="M101" i="1" s="1"/>
  <c r="I101" i="1"/>
  <c r="S100" i="1"/>
  <c r="R100" i="1"/>
  <c r="O100" i="1"/>
  <c r="L100" i="1"/>
  <c r="P100" i="1" s="1"/>
  <c r="I100" i="1"/>
  <c r="R99" i="1"/>
  <c r="S99" i="1" s="1"/>
  <c r="O99" i="1"/>
  <c r="L99" i="1"/>
  <c r="M99" i="1" s="1"/>
  <c r="I99" i="1"/>
  <c r="R98" i="1"/>
  <c r="S98" i="1" s="1"/>
  <c r="O98" i="1"/>
  <c r="L98" i="1"/>
  <c r="P98" i="1" s="1"/>
  <c r="I98" i="1"/>
  <c r="R97" i="1"/>
  <c r="S97" i="1" s="1"/>
  <c r="O97" i="1"/>
  <c r="L97" i="1"/>
  <c r="M97" i="1" s="1"/>
  <c r="I97" i="1"/>
  <c r="S96" i="1"/>
  <c r="R96" i="1"/>
  <c r="O96" i="1"/>
  <c r="L96" i="1"/>
  <c r="P96" i="1" s="1"/>
  <c r="I96" i="1"/>
  <c r="R95" i="1"/>
  <c r="S95" i="1" s="1"/>
  <c r="O95" i="1"/>
  <c r="L95" i="1"/>
  <c r="P95" i="1" s="1"/>
  <c r="I95" i="1"/>
  <c r="R94" i="1"/>
  <c r="S94" i="1" s="1"/>
  <c r="O94" i="1"/>
  <c r="L94" i="1"/>
  <c r="M94" i="1" s="1"/>
  <c r="I94" i="1"/>
  <c r="R93" i="1"/>
  <c r="S93" i="1" s="1"/>
  <c r="P93" i="1"/>
  <c r="O93" i="1"/>
  <c r="L93" i="1"/>
  <c r="M93" i="1" s="1"/>
  <c r="I93" i="1"/>
  <c r="R92" i="1"/>
  <c r="S92" i="1" s="1"/>
  <c r="O92" i="1"/>
  <c r="L92" i="1"/>
  <c r="P92" i="1" s="1"/>
  <c r="I92" i="1"/>
  <c r="R91" i="1"/>
  <c r="S91" i="1" s="1"/>
  <c r="O91" i="1"/>
  <c r="L91" i="1"/>
  <c r="P91" i="1" s="1"/>
  <c r="I91" i="1"/>
  <c r="S90" i="1"/>
  <c r="R90" i="1"/>
  <c r="O90" i="1"/>
  <c r="L90" i="1"/>
  <c r="M90" i="1" s="1"/>
  <c r="I90" i="1"/>
  <c r="R89" i="1"/>
  <c r="S89" i="1" s="1"/>
  <c r="P89" i="1"/>
  <c r="O89" i="1"/>
  <c r="L89" i="1"/>
  <c r="M89" i="1" s="1"/>
  <c r="I89" i="1"/>
  <c r="S88" i="1"/>
  <c r="R88" i="1"/>
  <c r="O88" i="1"/>
  <c r="L88" i="1"/>
  <c r="P88" i="1" s="1"/>
  <c r="I88" i="1"/>
  <c r="R87" i="1"/>
  <c r="S87" i="1" s="1"/>
  <c r="O87" i="1"/>
  <c r="L87" i="1"/>
  <c r="P87" i="1" s="1"/>
  <c r="I87" i="1"/>
  <c r="R86" i="1"/>
  <c r="S86" i="1" s="1"/>
  <c r="O86" i="1"/>
  <c r="L86" i="1"/>
  <c r="P86" i="1" s="1"/>
  <c r="I86" i="1"/>
  <c r="R85" i="1"/>
  <c r="S85" i="1" s="1"/>
  <c r="O85" i="1"/>
  <c r="L85" i="1"/>
  <c r="M85" i="1" s="1"/>
  <c r="I85" i="1"/>
  <c r="S84" i="1"/>
  <c r="R84" i="1"/>
  <c r="O84" i="1"/>
  <c r="L84" i="1"/>
  <c r="P84" i="1" s="1"/>
  <c r="I84" i="1"/>
  <c r="R83" i="1"/>
  <c r="S83" i="1" s="1"/>
  <c r="O83" i="1"/>
  <c r="L83" i="1"/>
  <c r="M83" i="1" s="1"/>
  <c r="I83" i="1"/>
  <c r="R82" i="1"/>
  <c r="S82" i="1" s="1"/>
  <c r="O82" i="1"/>
  <c r="L82" i="1"/>
  <c r="P82" i="1" s="1"/>
  <c r="I82" i="1"/>
  <c r="R81" i="1"/>
  <c r="S81" i="1" s="1"/>
  <c r="O81" i="1"/>
  <c r="L81" i="1"/>
  <c r="P81" i="1" s="1"/>
  <c r="I81" i="1"/>
  <c r="S80" i="1"/>
  <c r="R80" i="1"/>
  <c r="O80" i="1"/>
  <c r="L80" i="1"/>
  <c r="P80" i="1" s="1"/>
  <c r="I80" i="1"/>
  <c r="R79" i="1"/>
  <c r="S79" i="1" s="1"/>
  <c r="O79" i="1"/>
  <c r="L79" i="1"/>
  <c r="P79" i="1" s="1"/>
  <c r="I79" i="1"/>
  <c r="R78" i="1"/>
  <c r="S78" i="1" s="1"/>
  <c r="O78" i="1"/>
  <c r="L78" i="1"/>
  <c r="M78" i="1" s="1"/>
  <c r="I78" i="1"/>
  <c r="R77" i="1"/>
  <c r="S77" i="1" s="1"/>
  <c r="O77" i="1"/>
  <c r="L77" i="1"/>
  <c r="M77" i="1" s="1"/>
  <c r="I77" i="1"/>
  <c r="R76" i="1"/>
  <c r="S76" i="1" s="1"/>
  <c r="O76" i="1"/>
  <c r="L76" i="1"/>
  <c r="P76" i="1" s="1"/>
  <c r="I76" i="1"/>
  <c r="R75" i="1"/>
  <c r="S75" i="1" s="1"/>
  <c r="O75" i="1"/>
  <c r="L75" i="1"/>
  <c r="P75" i="1" s="1"/>
  <c r="I75" i="1"/>
  <c r="S74" i="1"/>
  <c r="R74" i="1"/>
  <c r="O74" i="1"/>
  <c r="L74" i="1"/>
  <c r="M74" i="1" s="1"/>
  <c r="I74" i="1"/>
  <c r="R73" i="1"/>
  <c r="S73" i="1" s="1"/>
  <c r="O73" i="1"/>
  <c r="L73" i="1"/>
  <c r="P73" i="1" s="1"/>
  <c r="I73" i="1"/>
  <c r="S72" i="1"/>
  <c r="R72" i="1"/>
  <c r="O72" i="1"/>
  <c r="L72" i="1"/>
  <c r="P72" i="1" s="1"/>
  <c r="I72" i="1"/>
  <c r="R71" i="1"/>
  <c r="S71" i="1" s="1"/>
  <c r="O71" i="1"/>
  <c r="L71" i="1"/>
  <c r="P71" i="1" s="1"/>
  <c r="I71" i="1"/>
  <c r="R70" i="1"/>
  <c r="S70" i="1" s="1"/>
  <c r="P70" i="1"/>
  <c r="O70" i="1"/>
  <c r="L70" i="1"/>
  <c r="M70" i="1" s="1"/>
  <c r="I70" i="1"/>
  <c r="R69" i="1"/>
  <c r="S69" i="1" s="1"/>
  <c r="P69" i="1"/>
  <c r="O69" i="1"/>
  <c r="L69" i="1"/>
  <c r="M69" i="1" s="1"/>
  <c r="I69" i="1"/>
  <c r="S68" i="1"/>
  <c r="R68" i="1"/>
  <c r="O68" i="1"/>
  <c r="L68" i="1"/>
  <c r="P68" i="1" s="1"/>
  <c r="I68" i="1"/>
  <c r="R67" i="1"/>
  <c r="S67" i="1" s="1"/>
  <c r="O67" i="1"/>
  <c r="L67" i="1"/>
  <c r="P67" i="1" s="1"/>
  <c r="I67" i="1"/>
  <c r="S66" i="1"/>
  <c r="R66" i="1"/>
  <c r="O66" i="1"/>
  <c r="L66" i="1"/>
  <c r="P66" i="1" s="1"/>
  <c r="I66" i="1"/>
  <c r="R65" i="1"/>
  <c r="S65" i="1" s="1"/>
  <c r="O65" i="1"/>
  <c r="L65" i="1"/>
  <c r="P65" i="1" s="1"/>
  <c r="I65" i="1"/>
  <c r="S64" i="1"/>
  <c r="R64" i="1"/>
  <c r="O64" i="1"/>
  <c r="L64" i="1"/>
  <c r="P64" i="1" s="1"/>
  <c r="I64" i="1"/>
  <c r="R63" i="1"/>
  <c r="S63" i="1" s="1"/>
  <c r="O63" i="1"/>
  <c r="L63" i="1"/>
  <c r="P63" i="1" s="1"/>
  <c r="I63" i="1"/>
  <c r="R62" i="1"/>
  <c r="S62" i="1" s="1"/>
  <c r="P62" i="1"/>
  <c r="O62" i="1"/>
  <c r="L62" i="1"/>
  <c r="M62" i="1" s="1"/>
  <c r="I62" i="1"/>
  <c r="O2" i="1"/>
  <c r="R60" i="1"/>
  <c r="S60" i="1" s="1"/>
  <c r="O60" i="1"/>
  <c r="L60" i="1"/>
  <c r="P60" i="1" s="1"/>
  <c r="R59" i="1"/>
  <c r="S59" i="1" s="1"/>
  <c r="O59" i="1"/>
  <c r="L59" i="1"/>
  <c r="P59" i="1" s="1"/>
  <c r="R58" i="1"/>
  <c r="S58" i="1" s="1"/>
  <c r="O58" i="1"/>
  <c r="L58" i="1"/>
  <c r="M58" i="1" s="1"/>
  <c r="R57" i="1"/>
  <c r="S57" i="1" s="1"/>
  <c r="O57" i="1"/>
  <c r="L57" i="1"/>
  <c r="P57" i="1" s="1"/>
  <c r="R56" i="1"/>
  <c r="S56" i="1" s="1"/>
  <c r="O56" i="1"/>
  <c r="L56" i="1"/>
  <c r="P56" i="1" s="1"/>
  <c r="R55" i="1"/>
  <c r="S55" i="1" s="1"/>
  <c r="O55" i="1"/>
  <c r="L55" i="1"/>
  <c r="P55" i="1" s="1"/>
  <c r="R54" i="1"/>
  <c r="S54" i="1" s="1"/>
  <c r="O54" i="1"/>
  <c r="L54" i="1"/>
  <c r="P54" i="1" s="1"/>
  <c r="R53" i="1"/>
  <c r="S53" i="1" s="1"/>
  <c r="O53" i="1"/>
  <c r="L53" i="1"/>
  <c r="P53" i="1" s="1"/>
  <c r="R52" i="1"/>
  <c r="S52" i="1" s="1"/>
  <c r="O52" i="1"/>
  <c r="L52" i="1"/>
  <c r="P52" i="1" s="1"/>
  <c r="R51" i="1"/>
  <c r="S51" i="1" s="1"/>
  <c r="O51" i="1"/>
  <c r="L51" i="1"/>
  <c r="P51" i="1" s="1"/>
  <c r="R50" i="1"/>
  <c r="S50" i="1" s="1"/>
  <c r="O50" i="1"/>
  <c r="L50" i="1"/>
  <c r="M50" i="1" s="1"/>
  <c r="R49" i="1"/>
  <c r="S49" i="1" s="1"/>
  <c r="O49" i="1"/>
  <c r="M49" i="1"/>
  <c r="L49" i="1"/>
  <c r="P49" i="1" s="1"/>
  <c r="R48" i="1"/>
  <c r="S48" i="1" s="1"/>
  <c r="O48" i="1"/>
  <c r="L48" i="1"/>
  <c r="P48" i="1" s="1"/>
  <c r="S47" i="1"/>
  <c r="R47" i="1"/>
  <c r="O47" i="1"/>
  <c r="L47" i="1"/>
  <c r="P47" i="1" s="1"/>
  <c r="R46" i="1"/>
  <c r="S46" i="1" s="1"/>
  <c r="O46" i="1"/>
  <c r="L46" i="1"/>
  <c r="P46" i="1" s="1"/>
  <c r="R45" i="1"/>
  <c r="S45" i="1" s="1"/>
  <c r="O45" i="1"/>
  <c r="L45" i="1"/>
  <c r="P45" i="1" s="1"/>
  <c r="R44" i="1"/>
  <c r="S44" i="1" s="1"/>
  <c r="O44" i="1"/>
  <c r="L44" i="1"/>
  <c r="P44" i="1" s="1"/>
  <c r="R43" i="1"/>
  <c r="S43" i="1" s="1"/>
  <c r="O43" i="1"/>
  <c r="L43" i="1"/>
  <c r="P43" i="1" s="1"/>
  <c r="R42" i="1"/>
  <c r="S42" i="1" s="1"/>
  <c r="O42" i="1"/>
  <c r="L42" i="1"/>
  <c r="M42" i="1" s="1"/>
  <c r="R41" i="1"/>
  <c r="S41" i="1" s="1"/>
  <c r="O41" i="1"/>
  <c r="L41" i="1"/>
  <c r="P41" i="1" s="1"/>
  <c r="R40" i="1"/>
  <c r="S40" i="1" s="1"/>
  <c r="O40" i="1"/>
  <c r="L40" i="1"/>
  <c r="P40" i="1" s="1"/>
  <c r="R39" i="1"/>
  <c r="S39" i="1" s="1"/>
  <c r="O39" i="1"/>
  <c r="L39" i="1"/>
  <c r="P39" i="1" s="1"/>
  <c r="R38" i="1"/>
  <c r="S38" i="1" s="1"/>
  <c r="O38" i="1"/>
  <c r="L38" i="1"/>
  <c r="P38" i="1" s="1"/>
  <c r="R37" i="1"/>
  <c r="S37" i="1" s="1"/>
  <c r="O37" i="1"/>
  <c r="L37" i="1"/>
  <c r="P37" i="1" s="1"/>
  <c r="R36" i="1"/>
  <c r="S36" i="1" s="1"/>
  <c r="O36" i="1"/>
  <c r="L36" i="1"/>
  <c r="P36" i="1" s="1"/>
  <c r="R35" i="1"/>
  <c r="S35" i="1" s="1"/>
  <c r="O35" i="1"/>
  <c r="L35" i="1"/>
  <c r="P35" i="1" s="1"/>
  <c r="R34" i="1"/>
  <c r="S34" i="1" s="1"/>
  <c r="O34" i="1"/>
  <c r="L34" i="1"/>
  <c r="M34" i="1" s="1"/>
  <c r="R33" i="1"/>
  <c r="S33" i="1" s="1"/>
  <c r="O33" i="1"/>
  <c r="L33" i="1"/>
  <c r="P33" i="1" s="1"/>
  <c r="R32" i="1"/>
  <c r="S32" i="1" s="1"/>
  <c r="O32" i="1"/>
  <c r="L32" i="1"/>
  <c r="P32" i="1" s="1"/>
  <c r="S31" i="1"/>
  <c r="R31" i="1"/>
  <c r="O31" i="1"/>
  <c r="L31" i="1"/>
  <c r="P31" i="1" s="1"/>
  <c r="R30" i="1"/>
  <c r="S30" i="1" s="1"/>
  <c r="O30" i="1"/>
  <c r="L30" i="1"/>
  <c r="P30" i="1" s="1"/>
  <c r="R29" i="1"/>
  <c r="S29" i="1" s="1"/>
  <c r="O29" i="1"/>
  <c r="L29" i="1"/>
  <c r="P29" i="1" s="1"/>
  <c r="R28" i="1"/>
  <c r="S28" i="1" s="1"/>
  <c r="O28" i="1"/>
  <c r="L28" i="1"/>
  <c r="P28" i="1" s="1"/>
  <c r="R27" i="1"/>
  <c r="S27" i="1" s="1"/>
  <c r="O27" i="1"/>
  <c r="L27" i="1"/>
  <c r="P27" i="1" s="1"/>
  <c r="R26" i="1"/>
  <c r="S26" i="1" s="1"/>
  <c r="O26" i="1"/>
  <c r="L26" i="1"/>
  <c r="M26" i="1" s="1"/>
  <c r="R25" i="1"/>
  <c r="S25" i="1" s="1"/>
  <c r="O25" i="1"/>
  <c r="L25" i="1"/>
  <c r="P25" i="1" s="1"/>
  <c r="R24" i="1"/>
  <c r="S24" i="1" s="1"/>
  <c r="O24" i="1"/>
  <c r="L24" i="1"/>
  <c r="P24" i="1" s="1"/>
  <c r="R23" i="1"/>
  <c r="S23" i="1" s="1"/>
  <c r="O23" i="1"/>
  <c r="L23" i="1"/>
  <c r="P23" i="1" s="1"/>
  <c r="R22" i="1"/>
  <c r="S22" i="1" s="1"/>
  <c r="O22" i="1"/>
  <c r="L22" i="1"/>
  <c r="P22" i="1" s="1"/>
  <c r="R21" i="1"/>
  <c r="S21" i="1" s="1"/>
  <c r="O21" i="1"/>
  <c r="L21" i="1"/>
  <c r="P21" i="1" s="1"/>
  <c r="R20" i="1"/>
  <c r="S20" i="1" s="1"/>
  <c r="O20" i="1"/>
  <c r="L20" i="1"/>
  <c r="P20" i="1" s="1"/>
  <c r="R19" i="1"/>
  <c r="S19" i="1" s="1"/>
  <c r="O19" i="1"/>
  <c r="L19" i="1"/>
  <c r="P19" i="1" s="1"/>
  <c r="R18" i="1"/>
  <c r="S18" i="1" s="1"/>
  <c r="O18" i="1"/>
  <c r="L18" i="1"/>
  <c r="M18" i="1" s="1"/>
  <c r="R17" i="1"/>
  <c r="S17" i="1" s="1"/>
  <c r="O17" i="1"/>
  <c r="L17" i="1"/>
  <c r="P17" i="1" s="1"/>
  <c r="R16" i="1"/>
  <c r="S16" i="1" s="1"/>
  <c r="O16" i="1"/>
  <c r="L16" i="1"/>
  <c r="P16" i="1" s="1"/>
  <c r="R15" i="1"/>
  <c r="S15" i="1" s="1"/>
  <c r="O15" i="1"/>
  <c r="L15" i="1"/>
  <c r="P15" i="1" s="1"/>
  <c r="R14" i="1"/>
  <c r="S14" i="1" s="1"/>
  <c r="O14" i="1"/>
  <c r="L14" i="1"/>
  <c r="P14" i="1" s="1"/>
  <c r="R13" i="1"/>
  <c r="S13" i="1" s="1"/>
  <c r="O13" i="1"/>
  <c r="L13" i="1"/>
  <c r="P13" i="1" s="1"/>
  <c r="R12" i="1"/>
  <c r="S12" i="1" s="1"/>
  <c r="O12" i="1"/>
  <c r="L12" i="1"/>
  <c r="P12" i="1" s="1"/>
  <c r="R11" i="1"/>
  <c r="S11" i="1" s="1"/>
  <c r="O11" i="1"/>
  <c r="L11" i="1"/>
  <c r="P11" i="1" s="1"/>
  <c r="R10" i="1"/>
  <c r="S10" i="1" s="1"/>
  <c r="O10" i="1"/>
  <c r="L10" i="1"/>
  <c r="M10" i="1" s="1"/>
  <c r="R9" i="1"/>
  <c r="S9" i="1" s="1"/>
  <c r="O9" i="1"/>
  <c r="L9" i="1"/>
  <c r="P9" i="1" s="1"/>
  <c r="R61" i="1"/>
  <c r="S61" i="1" s="1"/>
  <c r="O61" i="1"/>
  <c r="L61" i="1"/>
  <c r="P61" i="1" s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61" i="1"/>
  <c r="I6" i="1"/>
  <c r="L6" i="1"/>
  <c r="O6" i="1"/>
  <c r="R6" i="1"/>
  <c r="S6" i="1" s="1"/>
  <c r="I7" i="1"/>
  <c r="L7" i="1"/>
  <c r="P7" i="1" s="1"/>
  <c r="O7" i="1"/>
  <c r="R7" i="1"/>
  <c r="S7" i="1" s="1"/>
  <c r="I8" i="1"/>
  <c r="L8" i="1"/>
  <c r="O8" i="1"/>
  <c r="R8" i="1"/>
  <c r="S8" i="1" s="1"/>
  <c r="I4" i="1"/>
  <c r="L4" i="1"/>
  <c r="P4" i="1" s="1"/>
  <c r="O4" i="1"/>
  <c r="R4" i="1"/>
  <c r="S4" i="1" s="1"/>
  <c r="I5" i="1"/>
  <c r="L5" i="1"/>
  <c r="M5" i="1" s="1"/>
  <c r="O5" i="1"/>
  <c r="R5" i="1"/>
  <c r="S5" i="1" s="1"/>
  <c r="I3" i="1"/>
  <c r="L3" i="1"/>
  <c r="M3" i="1" s="1"/>
  <c r="O3" i="1"/>
  <c r="R3" i="1"/>
  <c r="S3" i="1" s="1"/>
  <c r="M108" i="1" l="1"/>
  <c r="M92" i="1"/>
  <c r="M96" i="1"/>
  <c r="M76" i="1"/>
  <c r="M80" i="1"/>
  <c r="M64" i="1"/>
  <c r="M68" i="1"/>
  <c r="M33" i="1"/>
  <c r="P18" i="1"/>
  <c r="M13" i="1"/>
  <c r="M84" i="1"/>
  <c r="P101" i="1"/>
  <c r="P105" i="1"/>
  <c r="P109" i="1"/>
  <c r="M100" i="1"/>
  <c r="P85" i="1"/>
  <c r="M41" i="1"/>
  <c r="P77" i="1"/>
  <c r="M102" i="1"/>
  <c r="M86" i="1"/>
  <c r="P94" i="1"/>
  <c r="P78" i="1"/>
  <c r="M65" i="1"/>
  <c r="M81" i="1"/>
  <c r="M72" i="1"/>
  <c r="P74" i="1"/>
  <c r="M88" i="1"/>
  <c r="P90" i="1"/>
  <c r="M104" i="1"/>
  <c r="P106" i="1"/>
  <c r="M67" i="1"/>
  <c r="P83" i="1"/>
  <c r="M63" i="1"/>
  <c r="M79" i="1"/>
  <c r="M95" i="1"/>
  <c r="P97" i="1"/>
  <c r="P99" i="1"/>
  <c r="M75" i="1"/>
  <c r="M91" i="1"/>
  <c r="M66" i="1"/>
  <c r="M82" i="1"/>
  <c r="M98" i="1"/>
  <c r="M107" i="1"/>
  <c r="M73" i="1"/>
  <c r="M71" i="1"/>
  <c r="M87" i="1"/>
  <c r="M103" i="1"/>
  <c r="L2" i="1"/>
  <c r="P2" i="1" s="1"/>
  <c r="R2" i="1"/>
  <c r="S2" i="1" s="1"/>
  <c r="I2" i="1"/>
  <c r="M37" i="1"/>
  <c r="P34" i="1"/>
  <c r="M21" i="1"/>
  <c r="P26" i="1"/>
  <c r="M17" i="1"/>
  <c r="M57" i="1"/>
  <c r="M9" i="1"/>
  <c r="M53" i="1"/>
  <c r="M45" i="1"/>
  <c r="P58" i="1"/>
  <c r="P10" i="1"/>
  <c r="P50" i="1"/>
  <c r="M29" i="1"/>
  <c r="P42" i="1"/>
  <c r="M25" i="1"/>
  <c r="M16" i="1"/>
  <c r="M24" i="1"/>
  <c r="M32" i="1"/>
  <c r="M40" i="1"/>
  <c r="M48" i="1"/>
  <c r="M56" i="1"/>
  <c r="M11" i="1"/>
  <c r="M19" i="1"/>
  <c r="M27" i="1"/>
  <c r="M35" i="1"/>
  <c r="M43" i="1"/>
  <c r="M51" i="1"/>
  <c r="M59" i="1"/>
  <c r="M14" i="1"/>
  <c r="M22" i="1"/>
  <c r="M30" i="1"/>
  <c r="M38" i="1"/>
  <c r="M46" i="1"/>
  <c r="M54" i="1"/>
  <c r="M12" i="1"/>
  <c r="M20" i="1"/>
  <c r="M28" i="1"/>
  <c r="M36" i="1"/>
  <c r="M44" i="1"/>
  <c r="M52" i="1"/>
  <c r="M60" i="1"/>
  <c r="M15" i="1"/>
  <c r="M31" i="1"/>
  <c r="M39" i="1"/>
  <c r="M47" i="1"/>
  <c r="M55" i="1"/>
  <c r="M61" i="1"/>
  <c r="M4" i="1"/>
  <c r="M7" i="1"/>
  <c r="P3" i="1"/>
  <c r="P5" i="1"/>
  <c r="M6" i="1"/>
  <c r="P6" i="1"/>
  <c r="M8" i="1"/>
  <c r="P8" i="1"/>
  <c r="M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<sst xmlns="http://schemas.openxmlformats.org/spreadsheetml/2006/main" count="566" uniqueCount="459">
  <si>
    <t>Origination Date</t>
  </si>
  <si>
    <t>City</t>
  </si>
  <si>
    <t>State</t>
  </si>
  <si>
    <t>Current Loan Amount</t>
  </si>
  <si>
    <t>Postal Code</t>
  </si>
  <si>
    <t>TX</t>
  </si>
  <si>
    <t>Baltimore</t>
  </si>
  <si>
    <t>MD</t>
  </si>
  <si>
    <t>TN</t>
  </si>
  <si>
    <t>PA</t>
  </si>
  <si>
    <t>SC</t>
  </si>
  <si>
    <t>MI</t>
  </si>
  <si>
    <t>NC</t>
  </si>
  <si>
    <t>FL</t>
  </si>
  <si>
    <t>AL</t>
  </si>
  <si>
    <t>GA</t>
  </si>
  <si>
    <t>Cleveland</t>
  </si>
  <si>
    <t>77327</t>
  </si>
  <si>
    <t>Atlanta</t>
  </si>
  <si>
    <t>30331</t>
  </si>
  <si>
    <t>Chicago</t>
  </si>
  <si>
    <t>IL</t>
  </si>
  <si>
    <t>OH</t>
  </si>
  <si>
    <t>Dayton</t>
  </si>
  <si>
    <t>WA</t>
  </si>
  <si>
    <t>NJ</t>
  </si>
  <si>
    <t>NY</t>
  </si>
  <si>
    <t>AZ</t>
  </si>
  <si>
    <t>CA</t>
  </si>
  <si>
    <t>Clarksville</t>
  </si>
  <si>
    <t>Akron</t>
  </si>
  <si>
    <t>Scottsdale</t>
  </si>
  <si>
    <t>28269</t>
  </si>
  <si>
    <t>IA</t>
  </si>
  <si>
    <t>OR</t>
  </si>
  <si>
    <t>NV</t>
  </si>
  <si>
    <t>Houston</t>
  </si>
  <si>
    <t>Jackson</t>
  </si>
  <si>
    <t>East St. Louis</t>
  </si>
  <si>
    <t>North Miami Beach</t>
  </si>
  <si>
    <t>37043</t>
  </si>
  <si>
    <t>Value for LTV</t>
  </si>
  <si>
    <t>Current LTV</t>
  </si>
  <si>
    <t>AVM Value</t>
  </si>
  <si>
    <t>FSD Score</t>
  </si>
  <si>
    <t>AVM LTV</t>
  </si>
  <si>
    <t>Order BPO?</t>
  </si>
  <si>
    <t>BPO Value</t>
  </si>
  <si>
    <t>BPO LTV</t>
  </si>
  <si>
    <t>Order Desk Review?</t>
  </si>
  <si>
    <t>Desk Review Value</t>
  </si>
  <si>
    <t>Desk Review Value LTV</t>
  </si>
  <si>
    <t>Include in deal</t>
  </si>
  <si>
    <t>Street</t>
  </si>
  <si>
    <t>1850 NE 169TH ST # 212</t>
  </si>
  <si>
    <t>4151 Cornell Blvd SW</t>
  </si>
  <si>
    <t>1659 Rd 5502</t>
  </si>
  <si>
    <t>1604 Parklane Dr</t>
  </si>
  <si>
    <t>2900 Hagler Dr</t>
  </si>
  <si>
    <t>Deal ID</t>
  </si>
  <si>
    <t>3524 East Baltimore Street</t>
  </si>
  <si>
    <t>21224</t>
  </si>
  <si>
    <t>4838 Wilmington Pike</t>
  </si>
  <si>
    <t>45440</t>
  </si>
  <si>
    <t>1003 McDowell Ave</t>
  </si>
  <si>
    <t>Chester</t>
  </si>
  <si>
    <t>19013</t>
  </si>
  <si>
    <t>1026 Elsinore Pl</t>
  </si>
  <si>
    <t>808 Elsinore Pl</t>
  </si>
  <si>
    <t>317 Torrey ST</t>
  </si>
  <si>
    <t>44304</t>
  </si>
  <si>
    <t>6 Cleveland ST</t>
  </si>
  <si>
    <t>Enfield</t>
  </si>
  <si>
    <t>CT</t>
  </si>
  <si>
    <t>06082</t>
  </si>
  <si>
    <t>3201 Decatur St</t>
  </si>
  <si>
    <t>Columbus</t>
  </si>
  <si>
    <t>31906</t>
  </si>
  <si>
    <t>1369 Barker Drive West</t>
  </si>
  <si>
    <t>Mobile</t>
  </si>
  <si>
    <t>36608</t>
  </si>
  <si>
    <t>1315 Coolidge Road Unit 7</t>
  </si>
  <si>
    <t>East Lansing</t>
  </si>
  <si>
    <t>48823</t>
  </si>
  <si>
    <t>2328 Anoka Ave</t>
  </si>
  <si>
    <t>21215</t>
  </si>
  <si>
    <t>25 Wilson Drive</t>
  </si>
  <si>
    <t>Northfield</t>
  </si>
  <si>
    <t>08225</t>
  </si>
  <si>
    <t>89 Cedarwood Drive</t>
  </si>
  <si>
    <t>New Britain</t>
  </si>
  <si>
    <t>06052</t>
  </si>
  <si>
    <t>1128 48th St</t>
  </si>
  <si>
    <t>Birmingham</t>
  </si>
  <si>
    <t>35208</t>
  </si>
  <si>
    <t>1610 Ryder Lee Lane</t>
  </si>
  <si>
    <t>Waxahachie</t>
  </si>
  <si>
    <t>75165</t>
  </si>
  <si>
    <t>charlotte</t>
  </si>
  <si>
    <t>2552 Edinberg Way</t>
  </si>
  <si>
    <t>Florence</t>
  </si>
  <si>
    <t>29501</t>
  </si>
  <si>
    <t>1145 Woodwinds Dr</t>
  </si>
  <si>
    <t>Waxhaw</t>
  </si>
  <si>
    <t>28173</t>
  </si>
  <si>
    <t>9408 Whitman Lane</t>
  </si>
  <si>
    <t>Port Richey</t>
  </si>
  <si>
    <t>34668</t>
  </si>
  <si>
    <t>12 Pond Rd</t>
  </si>
  <si>
    <t>Westport</t>
  </si>
  <si>
    <t>06880</t>
  </si>
  <si>
    <t>437 Bassett Hall Rd</t>
  </si>
  <si>
    <t>Fate</t>
  </si>
  <si>
    <t>75189</t>
  </si>
  <si>
    <t>6316 Sloane Ct</t>
  </si>
  <si>
    <t>Rancho Cucamonga</t>
  </si>
  <si>
    <t>91739</t>
  </si>
  <si>
    <t>6380 GOODY CT</t>
  </si>
  <si>
    <t>Las Vegas</t>
  </si>
  <si>
    <t>89118</t>
  </si>
  <si>
    <t>416 Falcon Rd</t>
  </si>
  <si>
    <t>Norristown</t>
  </si>
  <si>
    <t>19403</t>
  </si>
  <si>
    <t>29322 Otto Drive</t>
  </si>
  <si>
    <t>Milton</t>
  </si>
  <si>
    <t>DE</t>
  </si>
  <si>
    <t>19968</t>
  </si>
  <si>
    <t>2210 Pembroke Dr</t>
  </si>
  <si>
    <t>Fort Worth</t>
  </si>
  <si>
    <t>76110</t>
  </si>
  <si>
    <t>34763 Wesley Way</t>
  </si>
  <si>
    <t>Polson</t>
  </si>
  <si>
    <t>MT</t>
  </si>
  <si>
    <t>59860</t>
  </si>
  <si>
    <t>15 ORCHARD HEIGHTS RD</t>
  </si>
  <si>
    <t>Essex</t>
  </si>
  <si>
    <t>06426</t>
  </si>
  <si>
    <t>7823 West 45th Street</t>
  </si>
  <si>
    <t>Little Rock</t>
  </si>
  <si>
    <t>AR</t>
  </si>
  <si>
    <t>72204</t>
  </si>
  <si>
    <t>11026 Braes Forest Dr</t>
  </si>
  <si>
    <t>77071</t>
  </si>
  <si>
    <t>3803 Jenifer Street NW</t>
  </si>
  <si>
    <t>Washington</t>
  </si>
  <si>
    <t>DC</t>
  </si>
  <si>
    <t>20015</t>
  </si>
  <si>
    <t>77-6467 Alii Drive B-4</t>
  </si>
  <si>
    <t>Kailua-Kona</t>
  </si>
  <si>
    <t>HI</t>
  </si>
  <si>
    <t>96740</t>
  </si>
  <si>
    <t>33 Platt St</t>
  </si>
  <si>
    <t>Fall River</t>
  </si>
  <si>
    <t>MA</t>
  </si>
  <si>
    <t>02723</t>
  </si>
  <si>
    <t>181 Cornel Ln</t>
  </si>
  <si>
    <t>Hampstead</t>
  </si>
  <si>
    <t>28443</t>
  </si>
  <si>
    <t>15312 Kennebec St</t>
  </si>
  <si>
    <t>Southgate</t>
  </si>
  <si>
    <t>48195</t>
  </si>
  <si>
    <t>485 Thames St</t>
  </si>
  <si>
    <t>Newport</t>
  </si>
  <si>
    <t>RI</t>
  </si>
  <si>
    <t>02840</t>
  </si>
  <si>
    <t>11641 S Avenue J</t>
  </si>
  <si>
    <t>60617</t>
  </si>
  <si>
    <t>4345 Canter Ln NE</t>
  </si>
  <si>
    <t>Olympia</t>
  </si>
  <si>
    <t>98506</t>
  </si>
  <si>
    <t>1709 Hickey Road</t>
  </si>
  <si>
    <t>Sandpoint</t>
  </si>
  <si>
    <t>ID</t>
  </si>
  <si>
    <t>83864</t>
  </si>
  <si>
    <t>15504 NE 152nd Ave</t>
  </si>
  <si>
    <t>Brush Prairie</t>
  </si>
  <si>
    <t>98606</t>
  </si>
  <si>
    <t>5375 SE Arcadia Road</t>
  </si>
  <si>
    <t>Shelton</t>
  </si>
  <si>
    <t>98584</t>
  </si>
  <si>
    <t>1010 W Via De Arboles</t>
  </si>
  <si>
    <t>SAN TAN VALLEY</t>
  </si>
  <si>
    <t>85140</t>
  </si>
  <si>
    <t>185 Main St 206</t>
  </si>
  <si>
    <t>East Lyme</t>
  </si>
  <si>
    <t>06357</t>
  </si>
  <si>
    <t>2769 Peachtree Road NE Apartment</t>
  </si>
  <si>
    <t>30305</t>
  </si>
  <si>
    <t>26578 Calle Santa Barbara Unit 2</t>
  </si>
  <si>
    <t>San Juan Capistrano</t>
  </si>
  <si>
    <t>92675</t>
  </si>
  <si>
    <t>4165 Cordon Rd NE</t>
  </si>
  <si>
    <t>Salem</t>
  </si>
  <si>
    <t>97305</t>
  </si>
  <si>
    <t>1195 Angelus Ave</t>
  </si>
  <si>
    <t>San Diego</t>
  </si>
  <si>
    <t>92114</t>
  </si>
  <si>
    <t>3300 Romford Way</t>
  </si>
  <si>
    <t>Sacramento</t>
  </si>
  <si>
    <t>95827</t>
  </si>
  <si>
    <t>61 Clapboard Hill Rd</t>
  </si>
  <si>
    <t>10 Burkhardt Way</t>
  </si>
  <si>
    <t>New Milford</t>
  </si>
  <si>
    <t>06755</t>
  </si>
  <si>
    <t>579 Coldstream Drive</t>
  </si>
  <si>
    <t>Berwyn</t>
  </si>
  <si>
    <t>19312</t>
  </si>
  <si>
    <t>10931 W Mauve Clover Ct</t>
  </si>
  <si>
    <t>Star</t>
  </si>
  <si>
    <t>83669</t>
  </si>
  <si>
    <t>68128 and 68138 Oak Grove Road</t>
  </si>
  <si>
    <t>Montrose</t>
  </si>
  <si>
    <t>CO</t>
  </si>
  <si>
    <t>81401</t>
  </si>
  <si>
    <t>639 East Indian School Lane</t>
  </si>
  <si>
    <t>Banning</t>
  </si>
  <si>
    <t>92220</t>
  </si>
  <si>
    <t>272 South 1st Avenue</t>
  </si>
  <si>
    <t>Thatcher</t>
  </si>
  <si>
    <t>85552</t>
  </si>
  <si>
    <t>5108 SW 140th Ter</t>
  </si>
  <si>
    <t>Miramar</t>
  </si>
  <si>
    <t>33027</t>
  </si>
  <si>
    <t>307 West 6th Avenue</t>
  </si>
  <si>
    <t>Roselle</t>
  </si>
  <si>
    <t>07203</t>
  </si>
  <si>
    <t>2571 Manor Court</t>
  </si>
  <si>
    <t>Orange Park</t>
  </si>
  <si>
    <t>32073</t>
  </si>
  <si>
    <t>224 Antony Dr</t>
  </si>
  <si>
    <t>30233</t>
  </si>
  <si>
    <t>179 Pine Trail</t>
  </si>
  <si>
    <t>West Palm Beach</t>
  </si>
  <si>
    <t>33415</t>
  </si>
  <si>
    <t>236 Montgomery Circle</t>
  </si>
  <si>
    <t>Vacaville</t>
  </si>
  <si>
    <t>95687</t>
  </si>
  <si>
    <t>4830 France Ave S.</t>
  </si>
  <si>
    <t>EDINA</t>
  </si>
  <si>
    <t>MN</t>
  </si>
  <si>
    <t>55410</t>
  </si>
  <si>
    <t>4504 ELTHAM PARK</t>
  </si>
  <si>
    <t>Tallahassee</t>
  </si>
  <si>
    <t>32303</t>
  </si>
  <si>
    <t>5455 North Lafayette Avenue</t>
  </si>
  <si>
    <t>Fresno</t>
  </si>
  <si>
    <t>93711</t>
  </si>
  <si>
    <t>7441 Lena Avenue</t>
  </si>
  <si>
    <t>West Hills</t>
  </si>
  <si>
    <t>91307</t>
  </si>
  <si>
    <t>7024 Charrick Place</t>
  </si>
  <si>
    <t>Tujunga</t>
  </si>
  <si>
    <t>91042</t>
  </si>
  <si>
    <t>14216 North 22nd Street</t>
  </si>
  <si>
    <t>Phoenix</t>
  </si>
  <si>
    <t>85022</t>
  </si>
  <si>
    <t>407 Eagles Nest Way</t>
  </si>
  <si>
    <t>Cambridge</t>
  </si>
  <si>
    <t>21613</t>
  </si>
  <si>
    <t>215 Jo Drive</t>
  </si>
  <si>
    <t>Los Gatos</t>
  </si>
  <si>
    <t>95032</t>
  </si>
  <si>
    <t>66618 SAN DIEGO DR</t>
  </si>
  <si>
    <t>Desert Hot Springs</t>
  </si>
  <si>
    <t>92240</t>
  </si>
  <si>
    <t>1403 19Th St SE</t>
  </si>
  <si>
    <t>Altoona</t>
  </si>
  <si>
    <t>50009</t>
  </si>
  <si>
    <t>1122 Central Avenue</t>
  </si>
  <si>
    <t>Deerfield</t>
  </si>
  <si>
    <t>60015</t>
  </si>
  <si>
    <t>14721 Outfitter Street</t>
  </si>
  <si>
    <t>Orlando</t>
  </si>
  <si>
    <t>32824</t>
  </si>
  <si>
    <t>11568 Midnight Melody Avenue</t>
  </si>
  <si>
    <t>89138</t>
  </si>
  <si>
    <t>16270 Windpiper Road</t>
  </si>
  <si>
    <t>Poway</t>
  </si>
  <si>
    <t>92064</t>
  </si>
  <si>
    <t>8764 Sand Pine Drive</t>
  </si>
  <si>
    <t>Navarre</t>
  </si>
  <si>
    <t>32566</t>
  </si>
  <si>
    <t>204 Pleasant Street  UNIT 6 Building M</t>
  </si>
  <si>
    <t>Dracut</t>
  </si>
  <si>
    <t>01826</t>
  </si>
  <si>
    <t>15 Lilac Lane</t>
  </si>
  <si>
    <t>North Easton</t>
  </si>
  <si>
    <t>02356</t>
  </si>
  <si>
    <t>303 WESTCHESTER ST</t>
  </si>
  <si>
    <t>LONGVIEW</t>
  </si>
  <si>
    <t>75601</t>
  </si>
  <si>
    <t>760 W Accipiter Cir</t>
  </si>
  <si>
    <t>6145 E. Yucca St.</t>
  </si>
  <si>
    <t>85254</t>
  </si>
  <si>
    <t>314 Indian Bayou</t>
  </si>
  <si>
    <t>77057</t>
  </si>
  <si>
    <t>16150 WILKINSON DR</t>
  </si>
  <si>
    <t>Clermont</t>
  </si>
  <si>
    <t>34714</t>
  </si>
  <si>
    <t>744 PEPPERMINT WAY</t>
  </si>
  <si>
    <t>Prescott</t>
  </si>
  <si>
    <t>86305</t>
  </si>
  <si>
    <t>2512 Goose Creek Bypass</t>
  </si>
  <si>
    <t>Franklin</t>
  </si>
  <si>
    <t>37064</t>
  </si>
  <si>
    <t>4 Lorna Road</t>
  </si>
  <si>
    <t>Mattapan</t>
  </si>
  <si>
    <t>02126</t>
  </si>
  <si>
    <t>19104 Redbay Way</t>
  </si>
  <si>
    <t>Tampa</t>
  </si>
  <si>
    <t>33647</t>
  </si>
  <si>
    <t>7323 W PORTALS AVE</t>
  </si>
  <si>
    <t>93723</t>
  </si>
  <si>
    <t>773 PLATYPUS CT</t>
  </si>
  <si>
    <t>Poinciana</t>
  </si>
  <si>
    <t>34759</t>
  </si>
  <si>
    <t>1007 HASTINGS CT</t>
  </si>
  <si>
    <t>Lutz</t>
  </si>
  <si>
    <t>33548</t>
  </si>
  <si>
    <t>1608 W KANSAS AVE</t>
  </si>
  <si>
    <t>Midland</t>
  </si>
  <si>
    <t>79701</t>
  </si>
  <si>
    <t>62206</t>
  </si>
  <si>
    <t>33162</t>
  </si>
  <si>
    <t>2103 CARETTA ST</t>
  </si>
  <si>
    <t>NORTH AUGUSTA</t>
  </si>
  <si>
    <t>29841</t>
  </si>
  <si>
    <t>624 W Hanover St</t>
  </si>
  <si>
    <t>Marshall</t>
  </si>
  <si>
    <t>49068</t>
  </si>
  <si>
    <t>5045 Ashberry Road</t>
  </si>
  <si>
    <t>Carlsbad</t>
  </si>
  <si>
    <t>92008</t>
  </si>
  <si>
    <t>13800 Chatham Place</t>
  </si>
  <si>
    <t>Davie</t>
  </si>
  <si>
    <t>33325</t>
  </si>
  <si>
    <t>17 Cabot Avenue</t>
  </si>
  <si>
    <t>Elmsford</t>
  </si>
  <si>
    <t>10523</t>
  </si>
  <si>
    <t>9848 WOOLWORTH CT</t>
  </si>
  <si>
    <t>WELLINGTON</t>
  </si>
  <si>
    <t>33414</t>
  </si>
  <si>
    <t>226 Broad St</t>
  </si>
  <si>
    <t>Meriden</t>
  </si>
  <si>
    <t>06450</t>
  </si>
  <si>
    <t>3021 DEL MONTE DR</t>
  </si>
  <si>
    <t>LOS ANGELES</t>
  </si>
  <si>
    <t>90026</t>
  </si>
  <si>
    <t>137-139 WILSON ST</t>
  </si>
  <si>
    <t>PETALUMA</t>
  </si>
  <si>
    <t>94952</t>
  </si>
  <si>
    <t>1147 RAINBOW DR</t>
  </si>
  <si>
    <t>NAPLES</t>
  </si>
  <si>
    <t>34104</t>
  </si>
  <si>
    <t>300 E Main St</t>
  </si>
  <si>
    <t>Bronson</t>
  </si>
  <si>
    <t>32621</t>
  </si>
  <si>
    <t>6103 Santa Fe Pkwy #-</t>
  </si>
  <si>
    <t>30350</t>
  </si>
  <si>
    <t>1235 Greenbrook Drive</t>
  </si>
  <si>
    <t>Danville</t>
  </si>
  <si>
    <t>94526</t>
  </si>
  <si>
    <t>630 Aldersgate Court</t>
  </si>
  <si>
    <t>Katy</t>
  </si>
  <si>
    <t>77450</t>
  </si>
  <si>
    <t xml:space="preserve">    191,000.00 </t>
  </si>
  <si>
    <t xml:space="preserve">    300,000.00 </t>
  </si>
  <si>
    <t xml:space="preserve">    275,000.00 </t>
  </si>
  <si>
    <t xml:space="preserve">    318,000.00 </t>
  </si>
  <si>
    <t xml:space="preserve">    180,000.00 </t>
  </si>
  <si>
    <t xml:space="preserve">    195,000.00 </t>
  </si>
  <si>
    <t xml:space="preserve">    250,000.00 </t>
  </si>
  <si>
    <t xml:space="preserve">    118,000.00 </t>
  </si>
  <si>
    <t xml:space="preserve">    147,000.00 </t>
  </si>
  <si>
    <t xml:space="preserve">    203,000.00 </t>
  </si>
  <si>
    <t xml:space="preserve">    230,000.00 </t>
  </si>
  <si>
    <t xml:space="preserve">    355,000.00 </t>
  </si>
  <si>
    <t xml:space="preserve">    280,000.00 </t>
  </si>
  <si>
    <t xml:space="preserve">    114,654.00 </t>
  </si>
  <si>
    <t xml:space="preserve">    572,000.00 </t>
  </si>
  <si>
    <t xml:space="preserve">    874,000.00 </t>
  </si>
  <si>
    <t xml:space="preserve">    589,900.00 </t>
  </si>
  <si>
    <t xml:space="preserve">    1,275,000.00 </t>
  </si>
  <si>
    <t xml:space="preserve">    526,909.00 </t>
  </si>
  <si>
    <t xml:space="preserve">    1,600,000.00 </t>
  </si>
  <si>
    <t xml:space="preserve">    565,000.00 </t>
  </si>
  <si>
    <t xml:space="preserve">    662,000.00 </t>
  </si>
  <si>
    <t xml:space="preserve">    855,821.00 </t>
  </si>
  <si>
    <t xml:space="preserve">    1,574,000.00 </t>
  </si>
  <si>
    <t xml:space="preserve">    838,000.00 </t>
  </si>
  <si>
    <t xml:space="preserve">    485,000.00 </t>
  </si>
  <si>
    <t xml:space="preserve">    140,550.00 </t>
  </si>
  <si>
    <t xml:space="preserve">    379,900.00 </t>
  </si>
  <si>
    <t xml:space="preserve">    4,300,000.00 </t>
  </si>
  <si>
    <t xml:space="preserve">    455,000.00 </t>
  </si>
  <si>
    <t xml:space="preserve">    468,000.00 </t>
  </si>
  <si>
    <t xml:space="preserve">    735,000.00 </t>
  </si>
  <si>
    <t xml:space="preserve">    218,500.00 </t>
  </si>
  <si>
    <t xml:space="preserve">    1,900,000.00 </t>
  </si>
  <si>
    <t xml:space="preserve">    375,000.00 </t>
  </si>
  <si>
    <t xml:space="preserve">    1,100,000.00 </t>
  </si>
  <si>
    <t xml:space="preserve">    540,000.00 </t>
  </si>
  <si>
    <t xml:space="preserve">    1,850,000.00 </t>
  </si>
  <si>
    <t xml:space="preserve">    632,500.00 </t>
  </si>
  <si>
    <t xml:space="preserve">    685,000.00 </t>
  </si>
  <si>
    <t xml:space="preserve">    510,000.00 </t>
  </si>
  <si>
    <t xml:space="preserve">    815,000.00 </t>
  </si>
  <si>
    <t xml:space="preserve">    787,000.00 </t>
  </si>
  <si>
    <t xml:space="preserve">    425,000.00 </t>
  </si>
  <si>
    <t xml:space="preserve">    2,925,000.00 </t>
  </si>
  <si>
    <t xml:space="preserve">    515,000.00 </t>
  </si>
  <si>
    <t xml:space="preserve">    1,180,000.00 </t>
  </si>
  <si>
    <t xml:space="preserve">    714,000.00 </t>
  </si>
  <si>
    <t xml:space="preserve">    1,050,000.00 </t>
  </si>
  <si>
    <t xml:space="preserve">    490,000.00 </t>
  </si>
  <si>
    <t xml:space="preserve">    555,000.00 </t>
  </si>
  <si>
    <t xml:space="preserve">    545,000.00 </t>
  </si>
  <si>
    <t xml:space="preserve">    293,000.00 </t>
  </si>
  <si>
    <t xml:space="preserve">    950,000.00 </t>
  </si>
  <si>
    <t xml:space="preserve">    1,300,000.00 </t>
  </si>
  <si>
    <t xml:space="preserve">    1,125,000.00 </t>
  </si>
  <si>
    <t xml:space="preserve">    725,000.00 </t>
  </si>
  <si>
    <t xml:space="preserve">    972,500.00 </t>
  </si>
  <si>
    <t xml:space="preserve">    1,250,000.00 </t>
  </si>
  <si>
    <t xml:space="preserve">    655,000.00 </t>
  </si>
  <si>
    <t xml:space="preserve">    2,040,000.00 </t>
  </si>
  <si>
    <t xml:space="preserve">    465,000.00 </t>
  </si>
  <si>
    <t xml:space="preserve">    469,500.00 </t>
  </si>
  <si>
    <t xml:space="preserve">    407,500.00 </t>
  </si>
  <si>
    <t xml:space="preserve">    429,990.00 </t>
  </si>
  <si>
    <t xml:space="preserve">    800,000.00 </t>
  </si>
  <si>
    <t xml:space="preserve">    2,700,000.00 </t>
  </si>
  <si>
    <t xml:space="preserve">    297,000.00 </t>
  </si>
  <si>
    <t xml:space="preserve">    1,645,000.00 </t>
  </si>
  <si>
    <t xml:space="preserve">    358,000.00 </t>
  </si>
  <si>
    <t xml:space="preserve">    2,025,000.00 </t>
  </si>
  <si>
    <t xml:space="preserve">    990,000.00 </t>
  </si>
  <si>
    <t xml:space="preserve">    359,000.00 </t>
  </si>
  <si>
    <t xml:space="preserve">    799,900.00 </t>
  </si>
  <si>
    <t xml:space="preserve">    793,500.00 </t>
  </si>
  <si>
    <t xml:space="preserve">    630,000.00 </t>
  </si>
  <si>
    <t xml:space="preserve">    400,000.00 </t>
  </si>
  <si>
    <t xml:space="preserve">    730,000.00 </t>
  </si>
  <si>
    <t xml:space="preserve">    1,070,000.00 </t>
  </si>
  <si>
    <t xml:space="preserve">    75,000.00 </t>
  </si>
  <si>
    <t xml:space="preserve">    150,000.00 </t>
  </si>
  <si>
    <t xml:space="preserve">    243,000.00 </t>
  </si>
  <si>
    <t xml:space="preserve">    156,000.00 </t>
  </si>
  <si>
    <t xml:space="preserve">    1,695,400.00 </t>
  </si>
  <si>
    <t xml:space="preserve">    615,000.00 </t>
  </si>
  <si>
    <t xml:space="preserve">    959,000.00 </t>
  </si>
  <si>
    <t xml:space="preserve">    440,000.00 </t>
  </si>
  <si>
    <t xml:space="preserve">    960,000.00 </t>
  </si>
  <si>
    <t xml:space="preserve">    875,000.00 </t>
  </si>
  <si>
    <t xml:space="preserve">    710,000.00 </t>
  </si>
  <si>
    <t xml:space="preserve">    1,030,000.00 </t>
  </si>
  <si>
    <t xml:space="preserve">    1,270,000.00 </t>
  </si>
  <si>
    <t>BPO Link</t>
  </si>
  <si>
    <t>DVR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</si>
</sst>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color theme="1"/>
      <name val="Calibri Light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91D44"/>
        <bgColor rgb="FF091D4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14" fontId="4" fillId="3" borderId="1" xfId="2" applyNumberFormat="1" applyFont="1" applyFill="1" applyBorder="1" applyAlignment="1">
      <alignment horizontal="left" vertical="top" readingOrder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4" fillId="3" borderId="1" xfId="2" applyFont="1" applyFill="1" applyBorder="1" applyAlignment="1">
      <alignment horizontal="left" vertical="top" readingOrder="1"/>
    </xf>
    <xf numFmtId="0" fontId="4" fillId="0" borderId="1" xfId="0" applyFont="1" applyBorder="1" applyAlignment="1">
      <alignment horizontal="center" vertical="center" wrapText="1" readingOrder="1"/>
    </xf>
    <xf numFmtId="43" fontId="4" fillId="3" borderId="1" xfId="1" applyFont="1" applyFill="1" applyBorder="1" applyAlignment="1">
      <alignment horizontal="left" vertical="top" readingOrder="1"/>
    </xf>
    <xf numFmtId="43" fontId="4" fillId="0" borderId="1" xfId="1" applyFont="1" applyBorder="1" applyAlignment="1">
      <alignment horizontal="left" vertical="top" readingOrder="1"/>
    </xf>
    <xf numFmtId="43" fontId="5" fillId="0" borderId="1" xfId="1" applyFont="1" applyBorder="1"/>
    <xf numFmtId="1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0" fontId="2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49" fontId="0" fillId="0" borderId="0" xfId="0" applyNumberFormat="1"/>
    <xf numFmtId="0" fontId="2" fillId="2" borderId="3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Normal 2" xfId="2" xr:uid="{1EFCB240-7BCC-481D-8C80-82EA953DD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236-531A-4686-AD78-39EFF8CB4D50}">
  <dimension ref="A1:U145"/>
  <sheetViews>
    <sheetView tabSelected="1" workbookViewId="0">
      <selection activeCell="M23" sqref="M23"/>
    </sheetView>
  </sheetViews>
  <sheetFormatPr defaultRowHeight="15" x14ac:dyDescent="0.25"/>
  <cols>
    <col min="1" max="1" width="16.42578125" bestFit="1" customWidth="1"/>
    <col min="2" max="2" width="9.85546875" bestFit="1" customWidth="1"/>
    <col min="3" max="3" width="31" bestFit="1" customWidth="1"/>
    <col min="4" max="4" width="21.7109375" bestFit="1" customWidth="1"/>
    <col min="5" max="5" width="5.28515625" bestFit="1" customWidth="1"/>
    <col min="6" max="6" width="6.140625" bestFit="1" customWidth="1"/>
    <col min="7" max="7" width="11.28515625" bestFit="1" customWidth="1"/>
    <col min="8" max="8" width="12.42578125" bestFit="1" customWidth="1"/>
  </cols>
  <sheetData>
    <row r="1" spans="1:21" ht="36" x14ac:dyDescent="0.25">
      <c r="A1" s="13" t="s">
        <v>59</v>
      </c>
      <c r="B1" s="13" t="s">
        <v>0</v>
      </c>
      <c r="C1" s="13" t="s">
        <v>53</v>
      </c>
      <c r="D1" s="13" t="s">
        <v>1</v>
      </c>
      <c r="E1" s="13" t="s">
        <v>2</v>
      </c>
      <c r="F1" s="13" t="s">
        <v>4</v>
      </c>
      <c r="G1" s="13" t="s">
        <v>3</v>
      </c>
      <c r="H1" s="13" t="s">
        <v>41</v>
      </c>
      <c r="I1" s="13" t="s">
        <v>42</v>
      </c>
      <c r="J1" s="14" t="s">
        <v>43</v>
      </c>
      <c r="K1" s="14" t="s">
        <v>44</v>
      </c>
      <c r="L1" s="14" t="s">
        <v>45</v>
      </c>
      <c r="M1" s="14" t="s">
        <v>46</v>
      </c>
      <c r="N1" s="14" t="s">
        <v>47</v>
      </c>
      <c r="O1" s="14" t="s">
        <v>48</v>
      </c>
      <c r="P1" s="14" t="s">
        <v>49</v>
      </c>
      <c r="Q1" s="14" t="s">
        <v>50</v>
      </c>
      <c r="R1" s="14" t="s">
        <v>51</v>
      </c>
      <c r="S1" s="14" t="s">
        <v>52</v>
      </c>
      <c r="T1" s="17" t="s">
        <v>457</v>
      </c>
      <c r="U1" s="17" t="s">
        <v>458</v>
      </c>
    </row>
    <row r="2" spans="1:21" x14ac:dyDescent="0.25">
      <c r="A2" s="2">
        <v>1885348</v>
      </c>
      <c r="B2" s="1">
        <v>45540</v>
      </c>
      <c r="C2" s="1" t="s">
        <v>56</v>
      </c>
      <c r="D2" s="4" t="s">
        <v>16</v>
      </c>
      <c r="E2" s="4" t="s">
        <v>5</v>
      </c>
      <c r="F2" s="4" t="s">
        <v>17</v>
      </c>
      <c r="G2" s="15">
        <v>152800</v>
      </c>
      <c r="H2" s="6">
        <v>191000</v>
      </c>
      <c r="I2" s="9">
        <f t="shared" ref="I2:I60" si="0">G2/H2</f>
        <v>0.8</v>
      </c>
      <c r="J2" s="16" t="s">
        <v>365</v>
      </c>
      <c r="K2">
        <v>0.2052987</v>
      </c>
      <c r="L2" s="9">
        <f t="shared" ref="L2:L60" si="1">G2/J2</f>
        <v>0.8</v>
      </c>
      <c r="M2" s="12" t="str">
        <f t="shared" ref="M2:M60" si="2">IF(L2&gt;90%,"Order BPO","Good")</f>
        <v>Good</v>
      </c>
      <c r="N2" s="10"/>
      <c r="O2" s="11" t="e">
        <f t="shared" ref="O2:O60" si="3">G2/N2</f>
        <v>#DIV/0!</v>
      </c>
      <c r="P2" s="12" t="str">
        <f t="shared" ref="P2:P60" si="4">IF(L2&gt;90%,"Order BPO","Good")</f>
        <v>Good</v>
      </c>
      <c r="Q2" s="10"/>
      <c r="R2" s="10" t="e">
        <f t="shared" ref="R2:R60" si="5">G2/Q2</f>
        <v>#DIV/0!</v>
      </c>
      <c r="S2" s="12" t="e">
        <f t="shared" ref="S2:S60" si="6">IF(R2&gt;100%,"Take out of Deal","keep in deal")</f>
        <v>#DIV/0!</v>
      </c>
    </row>
    <row r="3" spans="1:21" x14ac:dyDescent="0.25">
      <c r="A3" s="2">
        <v>1885340</v>
      </c>
      <c r="B3" s="1">
        <v>45544</v>
      </c>
      <c r="C3" s="1" t="s">
        <v>55</v>
      </c>
      <c r="D3" s="4" t="s">
        <v>18</v>
      </c>
      <c r="E3" s="4" t="s">
        <v>15</v>
      </c>
      <c r="F3" s="4" t="s">
        <v>19</v>
      </c>
      <c r="G3" s="15">
        <v>156000</v>
      </c>
      <c r="H3" s="6">
        <v>300000</v>
      </c>
      <c r="I3" s="9">
        <f t="shared" si="0"/>
        <v>0.52</v>
      </c>
      <c r="J3" s="16" t="s">
        <v>366</v>
      </c>
      <c r="K3">
        <v>0.18160229999999999</v>
      </c>
      <c r="L3" s="9">
        <f t="shared" si="1"/>
        <v>0.52</v>
      </c>
      <c r="M3" s="12" t="str">
        <f t="shared" si="2"/>
        <v>Good</v>
      </c>
      <c r="N3" s="10"/>
      <c r="O3" s="11" t="e">
        <f t="shared" si="3"/>
        <v>#DIV/0!</v>
      </c>
      <c r="P3" s="12" t="str">
        <f t="shared" si="4"/>
        <v>Good</v>
      </c>
      <c r="Q3" s="10"/>
      <c r="R3" s="10" t="e">
        <f t="shared" si="5"/>
        <v>#DIV/0!</v>
      </c>
      <c r="S3" s="12" t="e">
        <f t="shared" si="6"/>
        <v>#DIV/0!</v>
      </c>
    </row>
    <row r="4" spans="1:21" x14ac:dyDescent="0.25">
      <c r="A4" s="2">
        <v>1947958</v>
      </c>
      <c r="B4" s="1">
        <v>45643</v>
      </c>
      <c r="C4" s="1" t="s">
        <v>60</v>
      </c>
      <c r="D4" s="4" t="s">
        <v>6</v>
      </c>
      <c r="E4" s="4" t="s">
        <v>7</v>
      </c>
      <c r="F4" s="4" t="s">
        <v>61</v>
      </c>
      <c r="G4" s="15">
        <v>165000</v>
      </c>
      <c r="H4" s="6">
        <v>275000</v>
      </c>
      <c r="I4" s="9">
        <f t="shared" si="0"/>
        <v>0.6</v>
      </c>
      <c r="J4" s="16" t="s">
        <v>367</v>
      </c>
      <c r="K4">
        <v>0.1505012</v>
      </c>
      <c r="L4" s="9">
        <f t="shared" si="1"/>
        <v>0.6</v>
      </c>
      <c r="M4" s="12" t="str">
        <f t="shared" si="2"/>
        <v>Good</v>
      </c>
      <c r="N4" s="10"/>
      <c r="O4" s="11" t="e">
        <f t="shared" si="3"/>
        <v>#DIV/0!</v>
      </c>
      <c r="P4" s="12" t="str">
        <f t="shared" si="4"/>
        <v>Good</v>
      </c>
      <c r="Q4" s="10"/>
      <c r="R4" s="10" t="e">
        <f t="shared" si="5"/>
        <v>#DIV/0!</v>
      </c>
      <c r="S4" s="12" t="e">
        <f t="shared" si="6"/>
        <v>#DIV/0!</v>
      </c>
    </row>
    <row r="5" spans="1:21" x14ac:dyDescent="0.25">
      <c r="A5" s="2">
        <v>1916098</v>
      </c>
      <c r="B5" s="1">
        <v>45614</v>
      </c>
      <c r="C5" s="1" t="s">
        <v>62</v>
      </c>
      <c r="D5" s="4" t="s">
        <v>23</v>
      </c>
      <c r="E5" s="4" t="s">
        <v>22</v>
      </c>
      <c r="F5" s="4" t="s">
        <v>63</v>
      </c>
      <c r="G5" s="15">
        <v>254400</v>
      </c>
      <c r="H5" s="6">
        <v>318000</v>
      </c>
      <c r="I5" s="9">
        <f t="shared" si="0"/>
        <v>0.8</v>
      </c>
      <c r="J5" s="16" t="s">
        <v>368</v>
      </c>
      <c r="K5">
        <v>0.110902</v>
      </c>
      <c r="L5" s="9">
        <f t="shared" si="1"/>
        <v>0.8</v>
      </c>
      <c r="M5" s="12" t="str">
        <f t="shared" si="2"/>
        <v>Good</v>
      </c>
      <c r="N5" s="10"/>
      <c r="O5" s="11" t="e">
        <f t="shared" si="3"/>
        <v>#DIV/0!</v>
      </c>
      <c r="P5" s="12" t="str">
        <f t="shared" si="4"/>
        <v>Good</v>
      </c>
      <c r="Q5" s="10"/>
      <c r="R5" s="10" t="e">
        <f t="shared" si="5"/>
        <v>#DIV/0!</v>
      </c>
      <c r="S5" s="12" t="e">
        <f t="shared" si="6"/>
        <v>#DIV/0!</v>
      </c>
    </row>
    <row r="6" spans="1:21" x14ac:dyDescent="0.25">
      <c r="A6" s="2">
        <v>1947935</v>
      </c>
      <c r="B6" s="1">
        <v>45642</v>
      </c>
      <c r="C6" s="1" t="s">
        <v>64</v>
      </c>
      <c r="D6" s="4" t="s">
        <v>65</v>
      </c>
      <c r="E6" s="4" t="s">
        <v>9</v>
      </c>
      <c r="F6" s="4" t="s">
        <v>66</v>
      </c>
      <c r="G6" s="15">
        <v>144000</v>
      </c>
      <c r="H6" s="6">
        <v>180000</v>
      </c>
      <c r="I6" s="9">
        <f t="shared" si="0"/>
        <v>0.8</v>
      </c>
      <c r="J6" s="16" t="s">
        <v>369</v>
      </c>
      <c r="K6">
        <v>0.16230439999999999</v>
      </c>
      <c r="L6" s="9">
        <f t="shared" si="1"/>
        <v>0.8</v>
      </c>
      <c r="M6" s="12" t="str">
        <f t="shared" si="2"/>
        <v>Good</v>
      </c>
      <c r="N6" s="10"/>
      <c r="O6" s="11" t="e">
        <f t="shared" si="3"/>
        <v>#DIV/0!</v>
      </c>
      <c r="P6" s="12" t="str">
        <f t="shared" si="4"/>
        <v>Good</v>
      </c>
      <c r="Q6" s="10"/>
      <c r="R6" s="10" t="e">
        <f t="shared" si="5"/>
        <v>#DIV/0!</v>
      </c>
      <c r="S6" s="12" t="e">
        <f t="shared" si="6"/>
        <v>#DIV/0!</v>
      </c>
    </row>
    <row r="7" spans="1:21" x14ac:dyDescent="0.25">
      <c r="A7" s="2">
        <v>1948050</v>
      </c>
      <c r="B7" s="1">
        <v>45642</v>
      </c>
      <c r="C7" s="1" t="s">
        <v>67</v>
      </c>
      <c r="D7" s="4" t="s">
        <v>65</v>
      </c>
      <c r="E7" s="4" t="s">
        <v>9</v>
      </c>
      <c r="F7" s="4" t="s">
        <v>66</v>
      </c>
      <c r="G7" s="15">
        <v>156000</v>
      </c>
      <c r="H7" s="6">
        <v>195000</v>
      </c>
      <c r="I7" s="9">
        <f t="shared" si="0"/>
        <v>0.8</v>
      </c>
      <c r="J7" s="16" t="s">
        <v>370</v>
      </c>
      <c r="K7">
        <v>0.40979710000000003</v>
      </c>
      <c r="L7" s="9">
        <f t="shared" si="1"/>
        <v>0.8</v>
      </c>
      <c r="M7" s="12" t="str">
        <f t="shared" si="2"/>
        <v>Good</v>
      </c>
      <c r="N7" s="10"/>
      <c r="O7" s="11" t="e">
        <f t="shared" si="3"/>
        <v>#DIV/0!</v>
      </c>
      <c r="P7" s="12" t="str">
        <f t="shared" si="4"/>
        <v>Good</v>
      </c>
      <c r="Q7" s="10"/>
      <c r="R7" s="10" t="e">
        <f t="shared" si="5"/>
        <v>#DIV/0!</v>
      </c>
      <c r="S7" s="12" t="e">
        <f t="shared" si="6"/>
        <v>#DIV/0!</v>
      </c>
    </row>
    <row r="8" spans="1:21" x14ac:dyDescent="0.25">
      <c r="A8" s="2">
        <v>1947938</v>
      </c>
      <c r="B8" s="1">
        <v>45642</v>
      </c>
      <c r="C8" s="1" t="s">
        <v>68</v>
      </c>
      <c r="D8" s="4" t="s">
        <v>65</v>
      </c>
      <c r="E8" s="4" t="s">
        <v>9</v>
      </c>
      <c r="F8" s="4" t="s">
        <v>66</v>
      </c>
      <c r="G8" s="15">
        <v>144000</v>
      </c>
      <c r="H8" s="6">
        <v>180000</v>
      </c>
      <c r="I8" s="9">
        <f t="shared" si="0"/>
        <v>0.8</v>
      </c>
      <c r="J8" s="16" t="s">
        <v>369</v>
      </c>
      <c r="K8">
        <v>0.48760379999999998</v>
      </c>
      <c r="L8" s="9">
        <f t="shared" si="1"/>
        <v>0.8</v>
      </c>
      <c r="M8" s="12" t="str">
        <f t="shared" si="2"/>
        <v>Good</v>
      </c>
      <c r="N8" s="10"/>
      <c r="O8" s="11" t="e">
        <f t="shared" si="3"/>
        <v>#DIV/0!</v>
      </c>
      <c r="P8" s="12" t="str">
        <f t="shared" si="4"/>
        <v>Good</v>
      </c>
      <c r="Q8" s="10"/>
      <c r="R8" s="10" t="e">
        <f t="shared" si="5"/>
        <v>#DIV/0!</v>
      </c>
      <c r="S8" s="12" t="e">
        <f t="shared" si="6"/>
        <v>#DIV/0!</v>
      </c>
    </row>
    <row r="9" spans="1:21" x14ac:dyDescent="0.25">
      <c r="A9" s="2">
        <v>1916059</v>
      </c>
      <c r="B9" s="1">
        <v>45618</v>
      </c>
      <c r="C9" s="1" t="s">
        <v>69</v>
      </c>
      <c r="D9" s="4" t="s">
        <v>30</v>
      </c>
      <c r="E9" s="4" t="s">
        <v>22</v>
      </c>
      <c r="F9" s="4" t="s">
        <v>70</v>
      </c>
      <c r="G9" s="15">
        <v>144000</v>
      </c>
      <c r="H9" s="6">
        <v>180000</v>
      </c>
      <c r="I9" s="9">
        <f t="shared" si="0"/>
        <v>0.8</v>
      </c>
      <c r="J9" s="16" t="s">
        <v>369</v>
      </c>
      <c r="K9">
        <v>0.111999</v>
      </c>
      <c r="L9" s="9">
        <f t="shared" si="1"/>
        <v>0.8</v>
      </c>
      <c r="M9" s="12" t="str">
        <f t="shared" si="2"/>
        <v>Good</v>
      </c>
      <c r="N9" s="10"/>
      <c r="O9" s="11" t="e">
        <f t="shared" si="3"/>
        <v>#DIV/0!</v>
      </c>
      <c r="P9" s="12" t="str">
        <f t="shared" si="4"/>
        <v>Good</v>
      </c>
      <c r="Q9" s="10"/>
      <c r="R9" s="10" t="e">
        <f t="shared" si="5"/>
        <v>#DIV/0!</v>
      </c>
      <c r="S9" s="12" t="e">
        <f t="shared" si="6"/>
        <v>#DIV/0!</v>
      </c>
    </row>
    <row r="10" spans="1:21" x14ac:dyDescent="0.25">
      <c r="A10" s="2">
        <v>1916054</v>
      </c>
      <c r="B10" s="1">
        <v>45615</v>
      </c>
      <c r="C10" s="1" t="s">
        <v>71</v>
      </c>
      <c r="D10" s="4" t="s">
        <v>72</v>
      </c>
      <c r="E10" s="4" t="s">
        <v>73</v>
      </c>
      <c r="F10" s="4" t="s">
        <v>74</v>
      </c>
      <c r="G10" s="15">
        <v>199600</v>
      </c>
      <c r="H10" s="6">
        <v>250000</v>
      </c>
      <c r="I10" s="9">
        <f t="shared" si="0"/>
        <v>0.7984</v>
      </c>
      <c r="J10" s="16" t="s">
        <v>371</v>
      </c>
      <c r="K10">
        <v>0.1194002</v>
      </c>
      <c r="L10" s="9">
        <f t="shared" si="1"/>
        <v>0.7984</v>
      </c>
      <c r="M10" s="12" t="str">
        <f t="shared" si="2"/>
        <v>Good</v>
      </c>
      <c r="N10" s="10"/>
      <c r="O10" s="11" t="e">
        <f t="shared" si="3"/>
        <v>#DIV/0!</v>
      </c>
      <c r="P10" s="12" t="str">
        <f t="shared" si="4"/>
        <v>Good</v>
      </c>
      <c r="Q10" s="10"/>
      <c r="R10" s="10" t="e">
        <f t="shared" si="5"/>
        <v>#DIV/0!</v>
      </c>
      <c r="S10" s="12" t="e">
        <f t="shared" si="6"/>
        <v>#DIV/0!</v>
      </c>
    </row>
    <row r="11" spans="1:21" x14ac:dyDescent="0.25">
      <c r="A11" s="2">
        <v>1964246</v>
      </c>
      <c r="B11" s="1">
        <v>45644</v>
      </c>
      <c r="C11" s="1" t="s">
        <v>75</v>
      </c>
      <c r="D11" s="4" t="s">
        <v>76</v>
      </c>
      <c r="E11" s="4" t="s">
        <v>15</v>
      </c>
      <c r="F11" s="4" t="s">
        <v>77</v>
      </c>
      <c r="G11" s="15">
        <v>94900</v>
      </c>
      <c r="H11" s="6">
        <v>118000</v>
      </c>
      <c r="I11" s="9">
        <f t="shared" si="0"/>
        <v>0.80423728813559325</v>
      </c>
      <c r="J11" s="16" t="s">
        <v>372</v>
      </c>
      <c r="K11">
        <v>5.7896599999999999E-2</v>
      </c>
      <c r="L11" s="9">
        <f t="shared" si="1"/>
        <v>0.80423728813559325</v>
      </c>
      <c r="M11" s="12" t="str">
        <f t="shared" si="2"/>
        <v>Good</v>
      </c>
      <c r="N11" s="10"/>
      <c r="O11" s="11" t="e">
        <f t="shared" si="3"/>
        <v>#DIV/0!</v>
      </c>
      <c r="P11" s="12" t="str">
        <f t="shared" si="4"/>
        <v>Good</v>
      </c>
      <c r="Q11" s="10"/>
      <c r="R11" s="10" t="e">
        <f t="shared" si="5"/>
        <v>#DIV/0!</v>
      </c>
      <c r="S11" s="12" t="e">
        <f t="shared" si="6"/>
        <v>#DIV/0!</v>
      </c>
    </row>
    <row r="12" spans="1:21" x14ac:dyDescent="0.25">
      <c r="A12" s="2">
        <v>1947983</v>
      </c>
      <c r="B12" s="1">
        <v>45637</v>
      </c>
      <c r="C12" s="1" t="s">
        <v>78</v>
      </c>
      <c r="D12" s="4" t="s">
        <v>79</v>
      </c>
      <c r="E12" s="4" t="s">
        <v>14</v>
      </c>
      <c r="F12" s="4" t="s">
        <v>80</v>
      </c>
      <c r="G12" s="15">
        <v>116277</v>
      </c>
      <c r="H12" s="6">
        <v>147000</v>
      </c>
      <c r="I12" s="9">
        <f t="shared" si="0"/>
        <v>0.79100000000000004</v>
      </c>
      <c r="J12" s="16" t="s">
        <v>373</v>
      </c>
      <c r="K12">
        <v>0.29660609999999998</v>
      </c>
      <c r="L12" s="9">
        <f t="shared" si="1"/>
        <v>0.79100000000000004</v>
      </c>
      <c r="M12" s="12" t="str">
        <f t="shared" si="2"/>
        <v>Good</v>
      </c>
      <c r="N12" s="10"/>
      <c r="O12" s="11" t="e">
        <f t="shared" si="3"/>
        <v>#DIV/0!</v>
      </c>
      <c r="P12" s="12" t="str">
        <f t="shared" si="4"/>
        <v>Good</v>
      </c>
      <c r="Q12" s="10"/>
      <c r="R12" s="10" t="e">
        <f t="shared" si="5"/>
        <v>#DIV/0!</v>
      </c>
      <c r="S12" s="12" t="e">
        <f t="shared" si="6"/>
        <v>#DIV/0!</v>
      </c>
    </row>
    <row r="13" spans="1:21" x14ac:dyDescent="0.25">
      <c r="A13" s="2">
        <v>1964185</v>
      </c>
      <c r="B13" s="1">
        <v>45660</v>
      </c>
      <c r="C13" s="1" t="s">
        <v>81</v>
      </c>
      <c r="D13" s="4" t="s">
        <v>82</v>
      </c>
      <c r="E13" s="4" t="s">
        <v>11</v>
      </c>
      <c r="F13" s="4" t="s">
        <v>83</v>
      </c>
      <c r="G13" s="15">
        <v>139474</v>
      </c>
      <c r="H13" s="6">
        <v>203000</v>
      </c>
      <c r="I13" s="9">
        <f t="shared" si="0"/>
        <v>0.68706403940886696</v>
      </c>
      <c r="J13" s="16" t="s">
        <v>374</v>
      </c>
      <c r="K13">
        <v>0.17230019999999999</v>
      </c>
      <c r="L13" s="9">
        <f t="shared" si="1"/>
        <v>0.68706403940886696</v>
      </c>
      <c r="M13" s="12" t="str">
        <f t="shared" si="2"/>
        <v>Good</v>
      </c>
      <c r="N13" s="10"/>
      <c r="O13" s="11" t="e">
        <f t="shared" si="3"/>
        <v>#DIV/0!</v>
      </c>
      <c r="P13" s="12" t="str">
        <f t="shared" si="4"/>
        <v>Good</v>
      </c>
      <c r="Q13" s="10"/>
      <c r="R13" s="10" t="e">
        <f t="shared" si="5"/>
        <v>#DIV/0!</v>
      </c>
      <c r="S13" s="12" t="e">
        <f t="shared" si="6"/>
        <v>#DIV/0!</v>
      </c>
    </row>
    <row r="14" spans="1:21" x14ac:dyDescent="0.25">
      <c r="A14" s="2">
        <v>1947999</v>
      </c>
      <c r="B14" s="1">
        <v>45639</v>
      </c>
      <c r="C14" s="1" t="s">
        <v>84</v>
      </c>
      <c r="D14" s="4" t="s">
        <v>6</v>
      </c>
      <c r="E14" s="4" t="s">
        <v>7</v>
      </c>
      <c r="F14" s="4" t="s">
        <v>85</v>
      </c>
      <c r="G14" s="15">
        <v>184000</v>
      </c>
      <c r="H14" s="6">
        <v>230000</v>
      </c>
      <c r="I14" s="9">
        <f t="shared" si="0"/>
        <v>0.8</v>
      </c>
      <c r="J14" s="16" t="s">
        <v>375</v>
      </c>
      <c r="K14">
        <v>0.74039909999999998</v>
      </c>
      <c r="L14" s="9">
        <f t="shared" si="1"/>
        <v>0.8</v>
      </c>
      <c r="M14" s="12" t="str">
        <f t="shared" si="2"/>
        <v>Good</v>
      </c>
      <c r="N14" s="10"/>
      <c r="O14" s="11" t="e">
        <f t="shared" si="3"/>
        <v>#DIV/0!</v>
      </c>
      <c r="P14" s="12" t="str">
        <f t="shared" si="4"/>
        <v>Good</v>
      </c>
      <c r="Q14" s="10"/>
      <c r="R14" s="10" t="e">
        <f t="shared" si="5"/>
        <v>#DIV/0!</v>
      </c>
      <c r="S14" s="12" t="e">
        <f t="shared" si="6"/>
        <v>#DIV/0!</v>
      </c>
    </row>
    <row r="15" spans="1:21" x14ac:dyDescent="0.25">
      <c r="A15" s="2">
        <v>1980279</v>
      </c>
      <c r="B15" s="1">
        <v>45667</v>
      </c>
      <c r="C15" s="1" t="s">
        <v>86</v>
      </c>
      <c r="D15" s="4" t="s">
        <v>87</v>
      </c>
      <c r="E15" s="4" t="s">
        <v>25</v>
      </c>
      <c r="F15" s="4" t="s">
        <v>88</v>
      </c>
      <c r="G15" s="15">
        <v>284000</v>
      </c>
      <c r="H15" s="6">
        <v>355000</v>
      </c>
      <c r="I15" s="9">
        <f t="shared" si="0"/>
        <v>0.8</v>
      </c>
      <c r="J15" s="16" t="s">
        <v>376</v>
      </c>
      <c r="K15">
        <v>4.5096799999999999E-2</v>
      </c>
      <c r="L15" s="9">
        <f t="shared" si="1"/>
        <v>0.8</v>
      </c>
      <c r="M15" s="12" t="str">
        <f t="shared" si="2"/>
        <v>Good</v>
      </c>
      <c r="N15" s="10"/>
      <c r="O15" s="11" t="e">
        <f t="shared" si="3"/>
        <v>#DIV/0!</v>
      </c>
      <c r="P15" s="12" t="str">
        <f t="shared" si="4"/>
        <v>Good</v>
      </c>
      <c r="Q15" s="10"/>
      <c r="R15" s="10" t="e">
        <f t="shared" si="5"/>
        <v>#DIV/0!</v>
      </c>
      <c r="S15" s="12" t="e">
        <f t="shared" si="6"/>
        <v>#DIV/0!</v>
      </c>
    </row>
    <row r="16" spans="1:21" x14ac:dyDescent="0.25">
      <c r="A16" s="2">
        <v>1993174</v>
      </c>
      <c r="B16" s="1">
        <v>45664</v>
      </c>
      <c r="C16" s="1" t="s">
        <v>89</v>
      </c>
      <c r="D16" s="4" t="s">
        <v>90</v>
      </c>
      <c r="E16" s="4" t="s">
        <v>73</v>
      </c>
      <c r="F16" s="4" t="s">
        <v>91</v>
      </c>
      <c r="G16" s="15">
        <v>224000</v>
      </c>
      <c r="H16" s="6">
        <v>280000</v>
      </c>
      <c r="I16" s="9">
        <f t="shared" si="0"/>
        <v>0.8</v>
      </c>
      <c r="J16" s="16" t="s">
        <v>377</v>
      </c>
      <c r="K16">
        <v>7.7701099999999995E-2</v>
      </c>
      <c r="L16" s="9">
        <f t="shared" si="1"/>
        <v>0.8</v>
      </c>
      <c r="M16" s="12" t="str">
        <f t="shared" si="2"/>
        <v>Good</v>
      </c>
      <c r="N16" s="10"/>
      <c r="O16" s="11" t="e">
        <f t="shared" si="3"/>
        <v>#DIV/0!</v>
      </c>
      <c r="P16" s="12" t="str">
        <f t="shared" si="4"/>
        <v>Good</v>
      </c>
      <c r="Q16" s="10"/>
      <c r="R16" s="10" t="e">
        <f t="shared" si="5"/>
        <v>#DIV/0!</v>
      </c>
      <c r="S16" s="12" t="e">
        <f t="shared" si="6"/>
        <v>#DIV/0!</v>
      </c>
    </row>
    <row r="17" spans="1:19" x14ac:dyDescent="0.25">
      <c r="A17" s="2">
        <v>1993176</v>
      </c>
      <c r="B17" s="1">
        <v>45665</v>
      </c>
      <c r="C17" s="1" t="s">
        <v>92</v>
      </c>
      <c r="D17" s="4" t="s">
        <v>93</v>
      </c>
      <c r="E17" s="4" t="s">
        <v>14</v>
      </c>
      <c r="F17" s="4" t="s">
        <v>94</v>
      </c>
      <c r="G17" s="15">
        <v>91723</v>
      </c>
      <c r="H17" s="6">
        <v>114654</v>
      </c>
      <c r="I17" s="9">
        <f t="shared" si="0"/>
        <v>0.79999825562126048</v>
      </c>
      <c r="J17" s="16" t="s">
        <v>378</v>
      </c>
      <c r="K17">
        <v>7.8201499999999993E-2</v>
      </c>
      <c r="L17" s="9">
        <f t="shared" si="1"/>
        <v>0.79999825562126048</v>
      </c>
      <c r="M17" s="12" t="str">
        <f t="shared" si="2"/>
        <v>Good</v>
      </c>
      <c r="N17" s="10"/>
      <c r="O17" s="11" t="e">
        <f t="shared" si="3"/>
        <v>#DIV/0!</v>
      </c>
      <c r="P17" s="12" t="str">
        <f t="shared" si="4"/>
        <v>Good</v>
      </c>
      <c r="Q17" s="10"/>
      <c r="R17" s="10" t="e">
        <f t="shared" si="5"/>
        <v>#DIV/0!</v>
      </c>
      <c r="S17" s="12" t="e">
        <f t="shared" si="6"/>
        <v>#DIV/0!</v>
      </c>
    </row>
    <row r="18" spans="1:19" x14ac:dyDescent="0.25">
      <c r="A18" s="2">
        <v>1693681</v>
      </c>
      <c r="B18" s="1">
        <v>45054</v>
      </c>
      <c r="C18" s="1" t="s">
        <v>95</v>
      </c>
      <c r="D18" s="4" t="s">
        <v>96</v>
      </c>
      <c r="E18" s="4" t="s">
        <v>5</v>
      </c>
      <c r="F18" s="4" t="s">
        <v>97</v>
      </c>
      <c r="G18" s="15">
        <v>450000</v>
      </c>
      <c r="H18" s="6">
        <v>572000</v>
      </c>
      <c r="I18" s="9">
        <f t="shared" si="0"/>
        <v>0.78671328671328666</v>
      </c>
      <c r="J18" s="16" t="s">
        <v>379</v>
      </c>
      <c r="K18">
        <v>9.3400800000000006E-2</v>
      </c>
      <c r="L18" s="9">
        <f t="shared" si="1"/>
        <v>0.78671328671328666</v>
      </c>
      <c r="M18" s="12" t="str">
        <f t="shared" si="2"/>
        <v>Good</v>
      </c>
      <c r="N18" s="10"/>
      <c r="O18" s="11" t="e">
        <f t="shared" si="3"/>
        <v>#DIV/0!</v>
      </c>
      <c r="P18" s="12" t="str">
        <f t="shared" si="4"/>
        <v>Good</v>
      </c>
      <c r="Q18" s="10"/>
      <c r="R18" s="10" t="e">
        <f t="shared" si="5"/>
        <v>#DIV/0!</v>
      </c>
      <c r="S18" s="12" t="e">
        <f t="shared" si="6"/>
        <v>#DIV/0!</v>
      </c>
    </row>
    <row r="19" spans="1:19" x14ac:dyDescent="0.25">
      <c r="A19" s="2">
        <v>1900208</v>
      </c>
      <c r="B19" s="1">
        <v>45383</v>
      </c>
      <c r="C19" s="1" t="s">
        <v>58</v>
      </c>
      <c r="D19" s="4" t="s">
        <v>98</v>
      </c>
      <c r="E19" s="4" t="s">
        <v>12</v>
      </c>
      <c r="F19" s="4" t="s">
        <v>32</v>
      </c>
      <c r="G19" s="15">
        <v>193570</v>
      </c>
      <c r="H19" s="6">
        <v>300000</v>
      </c>
      <c r="I19" s="9">
        <f t="shared" si="0"/>
        <v>0.64523333333333333</v>
      </c>
      <c r="J19" s="16" t="s">
        <v>366</v>
      </c>
      <c r="K19">
        <v>0.13640179999999999</v>
      </c>
      <c r="L19" s="9">
        <f t="shared" si="1"/>
        <v>0.64523333333333333</v>
      </c>
      <c r="M19" s="12" t="str">
        <f t="shared" si="2"/>
        <v>Good</v>
      </c>
      <c r="N19" s="10"/>
      <c r="O19" s="11" t="e">
        <f t="shared" si="3"/>
        <v>#DIV/0!</v>
      </c>
      <c r="P19" s="12" t="str">
        <f t="shared" si="4"/>
        <v>Good</v>
      </c>
      <c r="Q19" s="10"/>
      <c r="R19" s="10" t="e">
        <f t="shared" si="5"/>
        <v>#DIV/0!</v>
      </c>
      <c r="S19" s="12" t="e">
        <f t="shared" si="6"/>
        <v>#DIV/0!</v>
      </c>
    </row>
    <row r="20" spans="1:19" x14ac:dyDescent="0.25">
      <c r="A20" s="2">
        <v>1925314</v>
      </c>
      <c r="B20" s="1">
        <v>45623</v>
      </c>
      <c r="C20" s="1" t="s">
        <v>99</v>
      </c>
      <c r="D20" s="4" t="s">
        <v>100</v>
      </c>
      <c r="E20" s="4" t="s">
        <v>10</v>
      </c>
      <c r="F20" s="4" t="s">
        <v>101</v>
      </c>
      <c r="G20" s="15">
        <v>643180</v>
      </c>
      <c r="H20" s="6">
        <v>874000</v>
      </c>
      <c r="I20" s="9">
        <f t="shared" si="0"/>
        <v>0.73590389016018309</v>
      </c>
      <c r="J20" s="16" t="s">
        <v>380</v>
      </c>
      <c r="K20">
        <v>0.41620030000000002</v>
      </c>
      <c r="L20" s="9">
        <f t="shared" si="1"/>
        <v>0.73590389016018309</v>
      </c>
      <c r="M20" s="12" t="str">
        <f t="shared" si="2"/>
        <v>Good</v>
      </c>
      <c r="N20" s="10"/>
      <c r="O20" s="11" t="e">
        <f t="shared" si="3"/>
        <v>#DIV/0!</v>
      </c>
      <c r="P20" s="12" t="str">
        <f t="shared" si="4"/>
        <v>Good</v>
      </c>
      <c r="Q20" s="10"/>
      <c r="R20" s="10" t="e">
        <f t="shared" si="5"/>
        <v>#DIV/0!</v>
      </c>
      <c r="S20" s="12" t="e">
        <f t="shared" si="6"/>
        <v>#DIV/0!</v>
      </c>
    </row>
    <row r="21" spans="1:19" x14ac:dyDescent="0.25">
      <c r="A21" s="2">
        <v>1808531</v>
      </c>
      <c r="B21" s="1">
        <v>45442</v>
      </c>
      <c r="C21" s="1" t="s">
        <v>102</v>
      </c>
      <c r="D21" s="4" t="s">
        <v>103</v>
      </c>
      <c r="E21" s="4" t="s">
        <v>12</v>
      </c>
      <c r="F21" s="4" t="s">
        <v>104</v>
      </c>
      <c r="G21" s="15">
        <v>442425</v>
      </c>
      <c r="H21" s="6">
        <v>589900</v>
      </c>
      <c r="I21" s="9">
        <f t="shared" si="0"/>
        <v>0.75</v>
      </c>
      <c r="J21" s="16" t="s">
        <v>381</v>
      </c>
      <c r="K21">
        <v>7.2800000000000004E-2</v>
      </c>
      <c r="L21" s="9">
        <f t="shared" si="1"/>
        <v>0.75</v>
      </c>
      <c r="M21" s="12" t="str">
        <f t="shared" si="2"/>
        <v>Good</v>
      </c>
      <c r="N21" s="10"/>
      <c r="O21" s="11" t="e">
        <f t="shared" si="3"/>
        <v>#DIV/0!</v>
      </c>
      <c r="P21" s="12" t="str">
        <f t="shared" si="4"/>
        <v>Good</v>
      </c>
      <c r="Q21" s="10"/>
      <c r="R21" s="10" t="e">
        <f t="shared" si="5"/>
        <v>#DIV/0!</v>
      </c>
      <c r="S21" s="12" t="e">
        <f t="shared" si="6"/>
        <v>#DIV/0!</v>
      </c>
    </row>
    <row r="22" spans="1:19" x14ac:dyDescent="0.25">
      <c r="A22" s="2">
        <v>1996913</v>
      </c>
      <c r="B22" s="1">
        <v>45687</v>
      </c>
      <c r="C22" s="1" t="s">
        <v>105</v>
      </c>
      <c r="D22" s="4" t="s">
        <v>106</v>
      </c>
      <c r="E22" s="4" t="s">
        <v>13</v>
      </c>
      <c r="F22" s="4" t="s">
        <v>107</v>
      </c>
      <c r="G22" s="15">
        <v>126000</v>
      </c>
      <c r="H22" s="6">
        <v>180000</v>
      </c>
      <c r="I22" s="9">
        <f t="shared" si="0"/>
        <v>0.7</v>
      </c>
      <c r="J22" s="16" t="s">
        <v>369</v>
      </c>
      <c r="K22">
        <v>0.2782985</v>
      </c>
      <c r="L22" s="9">
        <f t="shared" si="1"/>
        <v>0.7</v>
      </c>
      <c r="M22" s="12" t="str">
        <f t="shared" si="2"/>
        <v>Good</v>
      </c>
      <c r="N22" s="10"/>
      <c r="O22" s="11" t="e">
        <f t="shared" si="3"/>
        <v>#DIV/0!</v>
      </c>
      <c r="P22" s="12" t="str">
        <f t="shared" si="4"/>
        <v>Good</v>
      </c>
      <c r="Q22" s="10"/>
      <c r="R22" s="10" t="e">
        <f t="shared" si="5"/>
        <v>#DIV/0!</v>
      </c>
      <c r="S22" s="12" t="e">
        <f t="shared" si="6"/>
        <v>#DIV/0!</v>
      </c>
    </row>
    <row r="23" spans="1:19" x14ac:dyDescent="0.25">
      <c r="A23" s="2">
        <v>1914005</v>
      </c>
      <c r="B23" s="1">
        <v>45618</v>
      </c>
      <c r="C23" s="1" t="s">
        <v>108</v>
      </c>
      <c r="D23" s="4" t="s">
        <v>109</v>
      </c>
      <c r="E23" s="4" t="s">
        <v>73</v>
      </c>
      <c r="F23" s="4" t="s">
        <v>110</v>
      </c>
      <c r="G23" s="15">
        <v>400000</v>
      </c>
      <c r="H23" s="6">
        <v>1275000</v>
      </c>
      <c r="I23" s="9">
        <f t="shared" si="0"/>
        <v>0.31372549019607843</v>
      </c>
      <c r="J23" s="16" t="s">
        <v>382</v>
      </c>
      <c r="K23">
        <v>0.84430039999999995</v>
      </c>
      <c r="L23" s="9">
        <f t="shared" si="1"/>
        <v>0.31372549019607843</v>
      </c>
      <c r="M23" s="12" t="e" cm="1">
        <f t="array" ref="M23">IF(U21L23&gt;90%,"Order BPO","Good")</f>
        <v>#NAME?</v>
      </c>
      <c r="N23" s="10"/>
      <c r="O23" s="11" t="e">
        <f t="shared" si="3"/>
        <v>#DIV/0!</v>
      </c>
      <c r="P23" s="12" t="str">
        <f t="shared" si="4"/>
        <v>Good</v>
      </c>
      <c r="Q23" s="10"/>
      <c r="R23" s="10" t="e">
        <f t="shared" si="5"/>
        <v>#DIV/0!</v>
      </c>
      <c r="S23" s="12" t="e">
        <f t="shared" si="6"/>
        <v>#DIV/0!</v>
      </c>
    </row>
    <row r="24" spans="1:19" x14ac:dyDescent="0.25">
      <c r="A24" s="2">
        <v>1873760</v>
      </c>
      <c r="B24" s="1">
        <v>45555</v>
      </c>
      <c r="C24" s="1" t="s">
        <v>111</v>
      </c>
      <c r="D24" s="4" t="s">
        <v>112</v>
      </c>
      <c r="E24" s="4" t="s">
        <v>5</v>
      </c>
      <c r="F24" s="4" t="s">
        <v>113</v>
      </c>
      <c r="G24" s="15">
        <v>406050</v>
      </c>
      <c r="H24" s="6">
        <v>526909</v>
      </c>
      <c r="I24" s="9">
        <f t="shared" si="0"/>
        <v>0.77062642695417993</v>
      </c>
      <c r="J24" s="16" t="s">
        <v>383</v>
      </c>
      <c r="K24">
        <v>0.55500150000000004</v>
      </c>
      <c r="L24" s="9">
        <f t="shared" si="1"/>
        <v>0.77062642695417993</v>
      </c>
      <c r="M24" s="12" t="str">
        <f t="shared" si="2"/>
        <v>Good</v>
      </c>
      <c r="N24" s="10"/>
      <c r="O24" s="11" t="e">
        <f t="shared" si="3"/>
        <v>#DIV/0!</v>
      </c>
      <c r="P24" s="12" t="str">
        <f t="shared" si="4"/>
        <v>Good</v>
      </c>
      <c r="Q24" s="10"/>
      <c r="R24" s="10" t="e">
        <f t="shared" si="5"/>
        <v>#DIV/0!</v>
      </c>
      <c r="S24" s="12" t="e">
        <f t="shared" si="6"/>
        <v>#DIV/0!</v>
      </c>
    </row>
    <row r="25" spans="1:19" x14ac:dyDescent="0.25">
      <c r="A25" s="2">
        <v>1914010</v>
      </c>
      <c r="B25" s="1">
        <v>45617</v>
      </c>
      <c r="C25" s="1" t="s">
        <v>114</v>
      </c>
      <c r="D25" s="4" t="s">
        <v>115</v>
      </c>
      <c r="E25" s="4" t="s">
        <v>28</v>
      </c>
      <c r="F25" s="4" t="s">
        <v>116</v>
      </c>
      <c r="G25" s="15">
        <v>1280000</v>
      </c>
      <c r="H25" s="6">
        <v>1600000</v>
      </c>
      <c r="I25" s="9">
        <f t="shared" si="0"/>
        <v>0.8</v>
      </c>
      <c r="J25" s="16" t="s">
        <v>384</v>
      </c>
      <c r="K25">
        <v>0.12710009999999999</v>
      </c>
      <c r="L25" s="9">
        <f t="shared" si="1"/>
        <v>0.8</v>
      </c>
      <c r="M25" s="12" t="str">
        <f t="shared" si="2"/>
        <v>Good</v>
      </c>
      <c r="N25" s="10"/>
      <c r="O25" s="11" t="e">
        <f t="shared" si="3"/>
        <v>#DIV/0!</v>
      </c>
      <c r="P25" s="12" t="str">
        <f t="shared" si="4"/>
        <v>Good</v>
      </c>
      <c r="Q25" s="10"/>
      <c r="R25" s="10" t="e">
        <f t="shared" si="5"/>
        <v>#DIV/0!</v>
      </c>
      <c r="S25" s="12" t="e">
        <f t="shared" si="6"/>
        <v>#DIV/0!</v>
      </c>
    </row>
    <row r="26" spans="1:19" x14ac:dyDescent="0.25">
      <c r="A26" s="2">
        <v>1930420</v>
      </c>
      <c r="B26" s="1">
        <v>45617</v>
      </c>
      <c r="C26" s="1" t="s">
        <v>117</v>
      </c>
      <c r="D26" s="4" t="s">
        <v>118</v>
      </c>
      <c r="E26" s="4" t="s">
        <v>35</v>
      </c>
      <c r="F26" s="4" t="s">
        <v>119</v>
      </c>
      <c r="G26" s="15">
        <v>508500</v>
      </c>
      <c r="H26" s="6">
        <v>565000</v>
      </c>
      <c r="I26" s="9">
        <f t="shared" si="0"/>
        <v>0.9</v>
      </c>
      <c r="J26" s="16" t="s">
        <v>385</v>
      </c>
      <c r="K26">
        <v>5.5399499999999997E-2</v>
      </c>
      <c r="L26" s="9">
        <f t="shared" si="1"/>
        <v>0.9</v>
      </c>
      <c r="M26" s="12" t="str">
        <f t="shared" si="2"/>
        <v>Good</v>
      </c>
      <c r="N26" s="10"/>
      <c r="O26" s="11" t="e">
        <f t="shared" si="3"/>
        <v>#DIV/0!</v>
      </c>
      <c r="P26" s="12" t="str">
        <f t="shared" si="4"/>
        <v>Good</v>
      </c>
      <c r="Q26" s="10"/>
      <c r="R26" s="10" t="e">
        <f t="shared" si="5"/>
        <v>#DIV/0!</v>
      </c>
      <c r="S26" s="12" t="e">
        <f t="shared" si="6"/>
        <v>#DIV/0!</v>
      </c>
    </row>
    <row r="27" spans="1:19" x14ac:dyDescent="0.25">
      <c r="A27" s="2">
        <v>1944932</v>
      </c>
      <c r="B27" s="1">
        <v>45649</v>
      </c>
      <c r="C27" s="1" t="s">
        <v>120</v>
      </c>
      <c r="D27" s="4" t="s">
        <v>121</v>
      </c>
      <c r="E27" s="4" t="s">
        <v>9</v>
      </c>
      <c r="F27" s="4" t="s">
        <v>122</v>
      </c>
      <c r="G27" s="15">
        <v>480000</v>
      </c>
      <c r="H27" s="6">
        <v>662000</v>
      </c>
      <c r="I27" s="9">
        <f t="shared" si="0"/>
        <v>0.7250755287009063</v>
      </c>
      <c r="J27" s="16" t="s">
        <v>386</v>
      </c>
      <c r="K27">
        <v>0.1069006</v>
      </c>
      <c r="L27" s="9">
        <f t="shared" si="1"/>
        <v>0.7250755287009063</v>
      </c>
      <c r="M27" s="12" t="str">
        <f t="shared" si="2"/>
        <v>Good</v>
      </c>
      <c r="N27" s="10"/>
      <c r="O27" s="11" t="e">
        <f t="shared" si="3"/>
        <v>#DIV/0!</v>
      </c>
      <c r="P27" s="12" t="str">
        <f t="shared" si="4"/>
        <v>Good</v>
      </c>
      <c r="Q27" s="10"/>
      <c r="R27" s="10" t="e">
        <f t="shared" si="5"/>
        <v>#DIV/0!</v>
      </c>
      <c r="S27" s="12" t="e">
        <f t="shared" si="6"/>
        <v>#DIV/0!</v>
      </c>
    </row>
    <row r="28" spans="1:19" x14ac:dyDescent="0.25">
      <c r="A28" s="2">
        <v>1969256</v>
      </c>
      <c r="B28" s="1">
        <v>45679</v>
      </c>
      <c r="C28" s="1" t="s">
        <v>123</v>
      </c>
      <c r="D28" s="4" t="s">
        <v>124</v>
      </c>
      <c r="E28" s="4" t="s">
        <v>125</v>
      </c>
      <c r="F28" s="4" t="s">
        <v>126</v>
      </c>
      <c r="G28" s="15">
        <v>684656</v>
      </c>
      <c r="H28" s="6">
        <v>855821</v>
      </c>
      <c r="I28" s="9">
        <f t="shared" si="0"/>
        <v>0.7999990652250879</v>
      </c>
      <c r="J28" s="16" t="s">
        <v>387</v>
      </c>
      <c r="L28" s="9">
        <f t="shared" si="1"/>
        <v>0.7999990652250879</v>
      </c>
      <c r="M28" s="12" t="str">
        <f t="shared" si="2"/>
        <v>Good</v>
      </c>
      <c r="N28" s="10"/>
      <c r="O28" s="11" t="e">
        <f t="shared" si="3"/>
        <v>#DIV/0!</v>
      </c>
      <c r="P28" s="12" t="str">
        <f t="shared" si="4"/>
        <v>Good</v>
      </c>
      <c r="Q28" s="10"/>
      <c r="R28" s="10" t="e">
        <f t="shared" si="5"/>
        <v>#DIV/0!</v>
      </c>
      <c r="S28" s="12" t="e">
        <f t="shared" si="6"/>
        <v>#DIV/0!</v>
      </c>
    </row>
    <row r="29" spans="1:19" x14ac:dyDescent="0.25">
      <c r="A29" s="2">
        <v>1939645</v>
      </c>
      <c r="B29" s="1">
        <v>45646</v>
      </c>
      <c r="C29" s="1" t="s">
        <v>127</v>
      </c>
      <c r="D29" s="4" t="s">
        <v>128</v>
      </c>
      <c r="E29" s="4" t="s">
        <v>5</v>
      </c>
      <c r="F29" s="4" t="s">
        <v>129</v>
      </c>
      <c r="G29" s="15">
        <v>824000</v>
      </c>
      <c r="H29" s="6">
        <v>1574000</v>
      </c>
      <c r="I29" s="9">
        <f t="shared" si="0"/>
        <v>0.52350698856416777</v>
      </c>
      <c r="J29" s="16" t="s">
        <v>388</v>
      </c>
      <c r="K29">
        <v>7.6100200000000007E-2</v>
      </c>
      <c r="L29" s="9">
        <f t="shared" si="1"/>
        <v>0.52350698856416777</v>
      </c>
      <c r="M29" s="12" t="str">
        <f t="shared" si="2"/>
        <v>Good</v>
      </c>
      <c r="N29" s="10"/>
      <c r="O29" s="11" t="e">
        <f t="shared" si="3"/>
        <v>#DIV/0!</v>
      </c>
      <c r="P29" s="12" t="str">
        <f t="shared" si="4"/>
        <v>Good</v>
      </c>
      <c r="Q29" s="10"/>
      <c r="R29" s="10" t="e">
        <f t="shared" si="5"/>
        <v>#DIV/0!</v>
      </c>
      <c r="S29" s="12" t="e">
        <f t="shared" si="6"/>
        <v>#DIV/0!</v>
      </c>
    </row>
    <row r="30" spans="1:19" x14ac:dyDescent="0.25">
      <c r="A30" s="2">
        <v>1952331</v>
      </c>
      <c r="B30" s="1">
        <v>45659</v>
      </c>
      <c r="C30" s="1" t="s">
        <v>130</v>
      </c>
      <c r="D30" s="4" t="s">
        <v>131</v>
      </c>
      <c r="E30" s="4" t="s">
        <v>132</v>
      </c>
      <c r="F30" s="4" t="s">
        <v>133</v>
      </c>
      <c r="G30" s="15">
        <v>374800</v>
      </c>
      <c r="H30" s="6">
        <v>838000</v>
      </c>
      <c r="I30" s="9">
        <f t="shared" si="0"/>
        <v>0.44725536992840098</v>
      </c>
      <c r="J30" s="16" t="s">
        <v>389</v>
      </c>
      <c r="K30">
        <v>0.1253001</v>
      </c>
      <c r="L30" s="9">
        <f t="shared" si="1"/>
        <v>0.44725536992840098</v>
      </c>
      <c r="M30" s="12" t="str">
        <f t="shared" si="2"/>
        <v>Good</v>
      </c>
      <c r="N30" s="10"/>
      <c r="O30" s="11" t="e">
        <f t="shared" si="3"/>
        <v>#DIV/0!</v>
      </c>
      <c r="P30" s="12" t="str">
        <f t="shared" si="4"/>
        <v>Good</v>
      </c>
      <c r="Q30" s="10"/>
      <c r="R30" s="10" t="e">
        <f t="shared" si="5"/>
        <v>#DIV/0!</v>
      </c>
      <c r="S30" s="12" t="e">
        <f t="shared" si="6"/>
        <v>#DIV/0!</v>
      </c>
    </row>
    <row r="31" spans="1:19" x14ac:dyDescent="0.25">
      <c r="A31" s="2">
        <v>1968388</v>
      </c>
      <c r="B31" s="1">
        <v>45687</v>
      </c>
      <c r="C31" s="1" t="s">
        <v>134</v>
      </c>
      <c r="D31" s="4" t="s">
        <v>135</v>
      </c>
      <c r="E31" s="4" t="s">
        <v>73</v>
      </c>
      <c r="F31" s="4" t="s">
        <v>136</v>
      </c>
      <c r="G31" s="15">
        <v>388000</v>
      </c>
      <c r="H31" s="6">
        <v>485000</v>
      </c>
      <c r="I31" s="9">
        <f t="shared" si="0"/>
        <v>0.8</v>
      </c>
      <c r="J31" s="16" t="s">
        <v>390</v>
      </c>
      <c r="K31">
        <v>0.10349999999999999</v>
      </c>
      <c r="L31" s="9">
        <f t="shared" si="1"/>
        <v>0.8</v>
      </c>
      <c r="M31" s="12" t="str">
        <f t="shared" si="2"/>
        <v>Good</v>
      </c>
      <c r="N31" s="10"/>
      <c r="O31" s="11" t="e">
        <f t="shared" si="3"/>
        <v>#DIV/0!</v>
      </c>
      <c r="P31" s="12" t="str">
        <f t="shared" si="4"/>
        <v>Good</v>
      </c>
      <c r="Q31" s="10"/>
      <c r="R31" s="10" t="e">
        <f t="shared" si="5"/>
        <v>#DIV/0!</v>
      </c>
      <c r="S31" s="12" t="e">
        <f t="shared" si="6"/>
        <v>#DIV/0!</v>
      </c>
    </row>
    <row r="32" spans="1:19" x14ac:dyDescent="0.25">
      <c r="A32" s="2">
        <v>1968428</v>
      </c>
      <c r="B32" s="1">
        <v>45686</v>
      </c>
      <c r="C32" s="1" t="s">
        <v>137</v>
      </c>
      <c r="D32" s="4" t="s">
        <v>138</v>
      </c>
      <c r="E32" s="4" t="s">
        <v>139</v>
      </c>
      <c r="F32" s="4" t="s">
        <v>140</v>
      </c>
      <c r="G32" s="15">
        <v>98385</v>
      </c>
      <c r="H32" s="6">
        <v>140550</v>
      </c>
      <c r="I32" s="9">
        <f t="shared" si="0"/>
        <v>0.7</v>
      </c>
      <c r="J32" s="16" t="s">
        <v>391</v>
      </c>
      <c r="K32">
        <v>8.8999400000000006E-2</v>
      </c>
      <c r="L32" s="9">
        <f t="shared" si="1"/>
        <v>0.7</v>
      </c>
      <c r="M32" s="12" t="str">
        <f t="shared" si="2"/>
        <v>Good</v>
      </c>
      <c r="N32" s="10"/>
      <c r="O32" s="11" t="e">
        <f t="shared" si="3"/>
        <v>#DIV/0!</v>
      </c>
      <c r="P32" s="12" t="str">
        <f t="shared" si="4"/>
        <v>Good</v>
      </c>
      <c r="Q32" s="10"/>
      <c r="R32" s="10" t="e">
        <f t="shared" si="5"/>
        <v>#DIV/0!</v>
      </c>
      <c r="S32" s="12" t="e">
        <f t="shared" si="6"/>
        <v>#DIV/0!</v>
      </c>
    </row>
    <row r="33" spans="1:19" x14ac:dyDescent="0.25">
      <c r="A33" s="2">
        <v>1631424</v>
      </c>
      <c r="B33" s="1">
        <v>44798</v>
      </c>
      <c r="C33" s="1" t="s">
        <v>141</v>
      </c>
      <c r="D33" s="4" t="s">
        <v>36</v>
      </c>
      <c r="E33" s="4" t="s">
        <v>5</v>
      </c>
      <c r="F33" s="4" t="s">
        <v>142</v>
      </c>
      <c r="G33" s="15">
        <v>296322</v>
      </c>
      <c r="H33" s="6">
        <v>379900</v>
      </c>
      <c r="I33" s="9">
        <f t="shared" si="0"/>
        <v>0.78</v>
      </c>
      <c r="J33" s="16" t="s">
        <v>392</v>
      </c>
      <c r="K33">
        <v>6.1700199999999997E-2</v>
      </c>
      <c r="L33" s="9">
        <f t="shared" si="1"/>
        <v>0.78</v>
      </c>
      <c r="M33" s="12" t="str">
        <f t="shared" si="2"/>
        <v>Good</v>
      </c>
      <c r="N33" s="10"/>
      <c r="O33" s="11" t="e">
        <f t="shared" si="3"/>
        <v>#DIV/0!</v>
      </c>
      <c r="P33" s="12" t="str">
        <f t="shared" si="4"/>
        <v>Good</v>
      </c>
      <c r="Q33" s="10"/>
      <c r="R33" s="10" t="e">
        <f t="shared" si="5"/>
        <v>#DIV/0!</v>
      </c>
      <c r="S33" s="12" t="e">
        <f t="shared" si="6"/>
        <v>#DIV/0!</v>
      </c>
    </row>
    <row r="34" spans="1:19" x14ac:dyDescent="0.25">
      <c r="A34" s="2">
        <v>1906119</v>
      </c>
      <c r="B34" s="1">
        <v>45609</v>
      </c>
      <c r="C34" s="1" t="s">
        <v>143</v>
      </c>
      <c r="D34" s="4" t="s">
        <v>144</v>
      </c>
      <c r="E34" s="4" t="s">
        <v>145</v>
      </c>
      <c r="F34" s="4" t="s">
        <v>146</v>
      </c>
      <c r="G34" s="15">
        <v>3000000</v>
      </c>
      <c r="H34" s="6">
        <v>4300000</v>
      </c>
      <c r="I34" s="9">
        <f t="shared" si="0"/>
        <v>0.69767441860465118</v>
      </c>
      <c r="J34" s="16" t="s">
        <v>393</v>
      </c>
      <c r="K34">
        <v>0.1007001</v>
      </c>
      <c r="L34" s="9">
        <f t="shared" si="1"/>
        <v>0.69767441860465118</v>
      </c>
      <c r="M34" s="12" t="str">
        <f t="shared" si="2"/>
        <v>Good</v>
      </c>
      <c r="N34" s="10"/>
      <c r="O34" s="11" t="e">
        <f t="shared" si="3"/>
        <v>#DIV/0!</v>
      </c>
      <c r="P34" s="12" t="str">
        <f t="shared" si="4"/>
        <v>Good</v>
      </c>
      <c r="Q34" s="10"/>
      <c r="R34" s="10" t="e">
        <f t="shared" si="5"/>
        <v>#DIV/0!</v>
      </c>
      <c r="S34" s="12" t="e">
        <f t="shared" si="6"/>
        <v>#DIV/0!</v>
      </c>
    </row>
    <row r="35" spans="1:19" x14ac:dyDescent="0.25">
      <c r="A35" s="2">
        <v>1906122</v>
      </c>
      <c r="B35" s="1">
        <v>45608</v>
      </c>
      <c r="C35" s="1" t="s">
        <v>147</v>
      </c>
      <c r="D35" s="4" t="s">
        <v>148</v>
      </c>
      <c r="E35" s="4" t="s">
        <v>149</v>
      </c>
      <c r="F35" s="4" t="s">
        <v>150</v>
      </c>
      <c r="G35" s="15">
        <v>287000</v>
      </c>
      <c r="H35" s="6">
        <v>455000</v>
      </c>
      <c r="I35" s="9">
        <f t="shared" si="0"/>
        <v>0.63076923076923075</v>
      </c>
      <c r="J35" s="16" t="s">
        <v>394</v>
      </c>
      <c r="K35">
        <v>8.3400799999999997E-2</v>
      </c>
      <c r="L35" s="9">
        <f t="shared" si="1"/>
        <v>0.63076923076923075</v>
      </c>
      <c r="M35" s="12" t="str">
        <f t="shared" si="2"/>
        <v>Good</v>
      </c>
      <c r="N35" s="10"/>
      <c r="O35" s="11" t="e">
        <f t="shared" si="3"/>
        <v>#DIV/0!</v>
      </c>
      <c r="P35" s="12" t="str">
        <f t="shared" si="4"/>
        <v>Good</v>
      </c>
      <c r="Q35" s="10"/>
      <c r="R35" s="10" t="e">
        <f t="shared" si="5"/>
        <v>#DIV/0!</v>
      </c>
      <c r="S35" s="12" t="e">
        <f t="shared" si="6"/>
        <v>#DIV/0!</v>
      </c>
    </row>
    <row r="36" spans="1:19" x14ac:dyDescent="0.25">
      <c r="A36" s="2">
        <v>1948717</v>
      </c>
      <c r="B36" s="1">
        <v>45617</v>
      </c>
      <c r="C36" s="1" t="s">
        <v>151</v>
      </c>
      <c r="D36" s="4" t="s">
        <v>152</v>
      </c>
      <c r="E36" s="4" t="s">
        <v>153</v>
      </c>
      <c r="F36" s="4" t="s">
        <v>154</v>
      </c>
      <c r="G36" s="15">
        <v>154500</v>
      </c>
      <c r="H36" s="6">
        <v>468000</v>
      </c>
      <c r="I36" s="9">
        <f t="shared" si="0"/>
        <v>0.33012820512820512</v>
      </c>
      <c r="J36" s="16" t="s">
        <v>395</v>
      </c>
      <c r="K36">
        <v>0.105699</v>
      </c>
      <c r="L36" s="9">
        <f t="shared" si="1"/>
        <v>0.33012820512820512</v>
      </c>
      <c r="M36" s="12" t="str">
        <f t="shared" si="2"/>
        <v>Good</v>
      </c>
      <c r="N36" s="10"/>
      <c r="O36" s="11" t="e">
        <f t="shared" si="3"/>
        <v>#DIV/0!</v>
      </c>
      <c r="P36" s="12" t="str">
        <f t="shared" si="4"/>
        <v>Good</v>
      </c>
      <c r="Q36" s="10"/>
      <c r="R36" s="10" t="e">
        <f t="shared" si="5"/>
        <v>#DIV/0!</v>
      </c>
      <c r="S36" s="12" t="e">
        <f t="shared" si="6"/>
        <v>#DIV/0!</v>
      </c>
    </row>
    <row r="37" spans="1:19" x14ac:dyDescent="0.25">
      <c r="A37" s="3">
        <v>1973063</v>
      </c>
      <c r="B37" s="1">
        <v>45673</v>
      </c>
      <c r="C37" s="1" t="s">
        <v>155</v>
      </c>
      <c r="D37" s="4" t="s">
        <v>156</v>
      </c>
      <c r="E37" s="4" t="s">
        <v>12</v>
      </c>
      <c r="F37" s="4" t="s">
        <v>157</v>
      </c>
      <c r="G37" s="15">
        <v>454230</v>
      </c>
      <c r="H37" s="8">
        <v>735000</v>
      </c>
      <c r="I37" s="9">
        <f t="shared" si="0"/>
        <v>0.61799999999999999</v>
      </c>
      <c r="J37" s="16" t="s">
        <v>396</v>
      </c>
      <c r="K37">
        <v>0.10359989999999999</v>
      </c>
      <c r="L37" s="9">
        <f t="shared" si="1"/>
        <v>0.61799999999999999</v>
      </c>
      <c r="M37" s="12" t="str">
        <f t="shared" si="2"/>
        <v>Good</v>
      </c>
      <c r="N37" s="10"/>
      <c r="O37" s="11" t="e">
        <f t="shared" si="3"/>
        <v>#DIV/0!</v>
      </c>
      <c r="P37" s="12" t="str">
        <f t="shared" si="4"/>
        <v>Good</v>
      </c>
      <c r="Q37" s="10"/>
      <c r="R37" s="10" t="e">
        <f t="shared" si="5"/>
        <v>#DIV/0!</v>
      </c>
      <c r="S37" s="12" t="e">
        <f t="shared" si="6"/>
        <v>#DIV/0!</v>
      </c>
    </row>
    <row r="38" spans="1:19" x14ac:dyDescent="0.25">
      <c r="A38" s="2">
        <v>1906124</v>
      </c>
      <c r="B38" s="1">
        <v>45609</v>
      </c>
      <c r="C38" s="1" t="s">
        <v>158</v>
      </c>
      <c r="D38" s="4" t="s">
        <v>159</v>
      </c>
      <c r="E38" s="4" t="s">
        <v>11</v>
      </c>
      <c r="F38" s="4" t="s">
        <v>160</v>
      </c>
      <c r="G38" s="15">
        <v>179170</v>
      </c>
      <c r="H38" s="6">
        <v>218500</v>
      </c>
      <c r="I38" s="9">
        <f t="shared" si="0"/>
        <v>0.82</v>
      </c>
      <c r="J38" s="16" t="s">
        <v>397</v>
      </c>
      <c r="K38">
        <v>7.3397799999999999E-2</v>
      </c>
      <c r="L38" s="9">
        <f t="shared" si="1"/>
        <v>0.82</v>
      </c>
      <c r="M38" s="12" t="str">
        <f t="shared" si="2"/>
        <v>Good</v>
      </c>
      <c r="N38" s="10"/>
      <c r="O38" s="11" t="e">
        <f t="shared" si="3"/>
        <v>#DIV/0!</v>
      </c>
      <c r="P38" s="12" t="str">
        <f t="shared" si="4"/>
        <v>Good</v>
      </c>
      <c r="Q38" s="10"/>
      <c r="R38" s="10" t="e">
        <f t="shared" si="5"/>
        <v>#DIV/0!</v>
      </c>
      <c r="S38" s="12" t="e">
        <f t="shared" si="6"/>
        <v>#DIV/0!</v>
      </c>
    </row>
    <row r="39" spans="1:19" x14ac:dyDescent="0.25">
      <c r="A39" s="2">
        <v>1948725</v>
      </c>
      <c r="B39" s="1">
        <v>45618</v>
      </c>
      <c r="C39" s="1" t="s">
        <v>161</v>
      </c>
      <c r="D39" s="4" t="s">
        <v>162</v>
      </c>
      <c r="E39" s="4" t="s">
        <v>163</v>
      </c>
      <c r="F39" s="4" t="s">
        <v>164</v>
      </c>
      <c r="G39" s="15">
        <v>779000</v>
      </c>
      <c r="H39" s="6">
        <v>1900000</v>
      </c>
      <c r="I39" s="9">
        <f t="shared" si="0"/>
        <v>0.41</v>
      </c>
      <c r="J39" s="16" t="s">
        <v>398</v>
      </c>
      <c r="L39" s="9">
        <f t="shared" si="1"/>
        <v>0.41</v>
      </c>
      <c r="M39" s="12" t="str">
        <f t="shared" si="2"/>
        <v>Good</v>
      </c>
      <c r="N39" s="10"/>
      <c r="O39" s="11" t="e">
        <f t="shared" si="3"/>
        <v>#DIV/0!</v>
      </c>
      <c r="P39" s="12" t="str">
        <f t="shared" si="4"/>
        <v>Good</v>
      </c>
      <c r="Q39" s="10"/>
      <c r="R39" s="10" t="e">
        <f t="shared" si="5"/>
        <v>#DIV/0!</v>
      </c>
      <c r="S39" s="12" t="e">
        <f t="shared" si="6"/>
        <v>#DIV/0!</v>
      </c>
    </row>
    <row r="40" spans="1:19" x14ac:dyDescent="0.25">
      <c r="A40" s="2">
        <v>1948680</v>
      </c>
      <c r="B40" s="1">
        <v>45635</v>
      </c>
      <c r="C40" s="1" t="s">
        <v>165</v>
      </c>
      <c r="D40" s="4" t="s">
        <v>20</v>
      </c>
      <c r="E40" s="4" t="s">
        <v>21</v>
      </c>
      <c r="F40" s="4" t="s">
        <v>166</v>
      </c>
      <c r="G40" s="15">
        <v>178000</v>
      </c>
      <c r="H40" s="6">
        <v>375000</v>
      </c>
      <c r="I40" s="9">
        <f t="shared" si="0"/>
        <v>0.47466666666666668</v>
      </c>
      <c r="J40" s="16" t="s">
        <v>399</v>
      </c>
      <c r="K40">
        <v>0.10860069999999999</v>
      </c>
      <c r="L40" s="9">
        <f t="shared" si="1"/>
        <v>0.47466666666666668</v>
      </c>
      <c r="M40" s="12" t="str">
        <f t="shared" si="2"/>
        <v>Good</v>
      </c>
      <c r="N40" s="10"/>
      <c r="O40" s="11" t="e">
        <f t="shared" si="3"/>
        <v>#DIV/0!</v>
      </c>
      <c r="P40" s="12" t="str">
        <f t="shared" si="4"/>
        <v>Good</v>
      </c>
      <c r="Q40" s="10"/>
      <c r="R40" s="10" t="e">
        <f t="shared" si="5"/>
        <v>#DIV/0!</v>
      </c>
      <c r="S40" s="12" t="e">
        <f t="shared" si="6"/>
        <v>#DIV/0!</v>
      </c>
    </row>
    <row r="41" spans="1:19" x14ac:dyDescent="0.25">
      <c r="A41" s="2">
        <v>1973065</v>
      </c>
      <c r="B41" s="1">
        <v>45639</v>
      </c>
      <c r="C41" s="1" t="s">
        <v>167</v>
      </c>
      <c r="D41" s="4" t="s">
        <v>168</v>
      </c>
      <c r="E41" s="4" t="s">
        <v>24</v>
      </c>
      <c r="F41" s="4" t="s">
        <v>169</v>
      </c>
      <c r="G41" s="15">
        <v>803880</v>
      </c>
      <c r="H41" s="6">
        <v>1100000</v>
      </c>
      <c r="I41" s="9">
        <f t="shared" si="0"/>
        <v>0.73080000000000001</v>
      </c>
      <c r="J41" s="16" t="s">
        <v>400</v>
      </c>
      <c r="K41">
        <v>0.1006003</v>
      </c>
      <c r="L41" s="9">
        <f t="shared" si="1"/>
        <v>0.73080000000000001</v>
      </c>
      <c r="M41" s="12" t="str">
        <f t="shared" si="2"/>
        <v>Good</v>
      </c>
      <c r="N41" s="10"/>
      <c r="O41" s="11" t="e">
        <f t="shared" si="3"/>
        <v>#DIV/0!</v>
      </c>
      <c r="P41" s="12" t="str">
        <f t="shared" si="4"/>
        <v>Good</v>
      </c>
      <c r="Q41" s="10"/>
      <c r="R41" s="10" t="e">
        <f t="shared" si="5"/>
        <v>#DIV/0!</v>
      </c>
      <c r="S41" s="12" t="e">
        <f t="shared" si="6"/>
        <v>#DIV/0!</v>
      </c>
    </row>
    <row r="42" spans="1:19" x14ac:dyDescent="0.25">
      <c r="A42" s="2">
        <v>1983960</v>
      </c>
      <c r="B42" s="1">
        <v>45631</v>
      </c>
      <c r="C42" s="1" t="s">
        <v>170</v>
      </c>
      <c r="D42" s="4" t="s">
        <v>171</v>
      </c>
      <c r="E42" s="4" t="s">
        <v>172</v>
      </c>
      <c r="F42" s="4" t="s">
        <v>173</v>
      </c>
      <c r="G42" s="15">
        <v>405000</v>
      </c>
      <c r="H42" s="6">
        <v>540000</v>
      </c>
      <c r="I42" s="9">
        <f t="shared" si="0"/>
        <v>0.75</v>
      </c>
      <c r="J42" s="16" t="s">
        <v>401</v>
      </c>
      <c r="K42">
        <v>4.9200000000000001E-2</v>
      </c>
      <c r="L42" s="9">
        <f t="shared" si="1"/>
        <v>0.75</v>
      </c>
      <c r="M42" s="12" t="str">
        <f t="shared" si="2"/>
        <v>Good</v>
      </c>
      <c r="N42" s="10"/>
      <c r="O42" s="11" t="e">
        <f t="shared" si="3"/>
        <v>#DIV/0!</v>
      </c>
      <c r="P42" s="12" t="str">
        <f t="shared" si="4"/>
        <v>Good</v>
      </c>
      <c r="Q42" s="10"/>
      <c r="R42" s="10" t="e">
        <f t="shared" si="5"/>
        <v>#DIV/0!</v>
      </c>
      <c r="S42" s="12" t="e">
        <f t="shared" si="6"/>
        <v>#DIV/0!</v>
      </c>
    </row>
    <row r="43" spans="1:19" x14ac:dyDescent="0.25">
      <c r="A43" s="2">
        <v>1948716</v>
      </c>
      <c r="B43" s="1">
        <v>45628</v>
      </c>
      <c r="C43" s="1" t="s">
        <v>174</v>
      </c>
      <c r="D43" s="4" t="s">
        <v>175</v>
      </c>
      <c r="E43" s="4" t="s">
        <v>24</v>
      </c>
      <c r="F43" s="4" t="s">
        <v>176</v>
      </c>
      <c r="G43" s="15">
        <v>1480000</v>
      </c>
      <c r="H43" s="6">
        <v>1850000</v>
      </c>
      <c r="I43" s="9">
        <f t="shared" si="0"/>
        <v>0.8</v>
      </c>
      <c r="J43" s="16" t="s">
        <v>402</v>
      </c>
      <c r="K43">
        <v>7.3199799999999995E-2</v>
      </c>
      <c r="L43" s="9">
        <f t="shared" si="1"/>
        <v>0.8</v>
      </c>
      <c r="M43" s="12" t="str">
        <f t="shared" si="2"/>
        <v>Good</v>
      </c>
      <c r="N43" s="10"/>
      <c r="O43" s="11" t="e">
        <f t="shared" si="3"/>
        <v>#DIV/0!</v>
      </c>
      <c r="P43" s="12" t="str">
        <f t="shared" si="4"/>
        <v>Good</v>
      </c>
      <c r="Q43" s="10"/>
      <c r="R43" s="10" t="e">
        <f t="shared" si="5"/>
        <v>#DIV/0!</v>
      </c>
      <c r="S43" s="12" t="e">
        <f t="shared" si="6"/>
        <v>#DIV/0!</v>
      </c>
    </row>
    <row r="44" spans="1:19" x14ac:dyDescent="0.25">
      <c r="A44" s="2">
        <v>1956872</v>
      </c>
      <c r="B44" s="1">
        <v>45635</v>
      </c>
      <c r="C44" s="1" t="s">
        <v>177</v>
      </c>
      <c r="D44" s="4" t="s">
        <v>178</v>
      </c>
      <c r="E44" s="4" t="s">
        <v>24</v>
      </c>
      <c r="F44" s="4" t="s">
        <v>179</v>
      </c>
      <c r="G44" s="15">
        <v>200000</v>
      </c>
      <c r="H44" s="6">
        <v>632500</v>
      </c>
      <c r="I44" s="9">
        <f t="shared" si="0"/>
        <v>0.31620553359683795</v>
      </c>
      <c r="J44" s="16" t="s">
        <v>403</v>
      </c>
      <c r="K44">
        <v>5.4400400000000002E-2</v>
      </c>
      <c r="L44" s="9">
        <f t="shared" si="1"/>
        <v>0.31620553359683795</v>
      </c>
      <c r="M44" s="12" t="str">
        <f t="shared" si="2"/>
        <v>Good</v>
      </c>
      <c r="N44" s="10"/>
      <c r="O44" s="11" t="e">
        <f t="shared" si="3"/>
        <v>#DIV/0!</v>
      </c>
      <c r="P44" s="12" t="str">
        <f t="shared" si="4"/>
        <v>Good</v>
      </c>
      <c r="Q44" s="10"/>
      <c r="R44" s="10" t="e">
        <f t="shared" si="5"/>
        <v>#DIV/0!</v>
      </c>
      <c r="S44" s="12" t="e">
        <f t="shared" si="6"/>
        <v>#DIV/0!</v>
      </c>
    </row>
    <row r="45" spans="1:19" x14ac:dyDescent="0.25">
      <c r="A45" s="2">
        <v>1973030</v>
      </c>
      <c r="B45" s="1">
        <v>45637</v>
      </c>
      <c r="C45" s="1" t="s">
        <v>180</v>
      </c>
      <c r="D45" s="4" t="s">
        <v>181</v>
      </c>
      <c r="E45" s="4" t="s">
        <v>27</v>
      </c>
      <c r="F45" s="4" t="s">
        <v>182</v>
      </c>
      <c r="G45" s="15">
        <v>843563</v>
      </c>
      <c r="H45" s="6">
        <v>1100000</v>
      </c>
      <c r="I45" s="9">
        <f t="shared" si="0"/>
        <v>0.76687545454545458</v>
      </c>
      <c r="J45" s="16" t="s">
        <v>400</v>
      </c>
      <c r="K45">
        <v>3.2299599999999998E-2</v>
      </c>
      <c r="L45" s="9">
        <f t="shared" si="1"/>
        <v>0.76687545454545458</v>
      </c>
      <c r="M45" s="12" t="str">
        <f t="shared" si="2"/>
        <v>Good</v>
      </c>
      <c r="N45" s="10"/>
      <c r="O45" s="11" t="e">
        <f t="shared" si="3"/>
        <v>#DIV/0!</v>
      </c>
      <c r="P45" s="12" t="str">
        <f t="shared" si="4"/>
        <v>Good</v>
      </c>
      <c r="Q45" s="10"/>
      <c r="R45" s="10" t="e">
        <f t="shared" si="5"/>
        <v>#DIV/0!</v>
      </c>
      <c r="S45" s="12" t="e">
        <f t="shared" si="6"/>
        <v>#DIV/0!</v>
      </c>
    </row>
    <row r="46" spans="1:19" x14ac:dyDescent="0.25">
      <c r="A46" s="2">
        <v>1956883</v>
      </c>
      <c r="B46" s="1">
        <v>45665</v>
      </c>
      <c r="C46" s="1" t="s">
        <v>183</v>
      </c>
      <c r="D46" s="4" t="s">
        <v>184</v>
      </c>
      <c r="E46" s="4" t="s">
        <v>73</v>
      </c>
      <c r="F46" s="4" t="s">
        <v>185</v>
      </c>
      <c r="G46" s="15">
        <v>548000</v>
      </c>
      <c r="H46" s="6">
        <v>685000</v>
      </c>
      <c r="I46" s="9">
        <f t="shared" si="0"/>
        <v>0.8</v>
      </c>
      <c r="J46" s="16" t="s">
        <v>404</v>
      </c>
      <c r="K46">
        <v>6.3699800000000001E-2</v>
      </c>
      <c r="L46" s="9">
        <f t="shared" si="1"/>
        <v>0.8</v>
      </c>
      <c r="M46" s="12" t="str">
        <f t="shared" si="2"/>
        <v>Good</v>
      </c>
      <c r="N46" s="10"/>
      <c r="O46" s="11" t="e">
        <f t="shared" si="3"/>
        <v>#DIV/0!</v>
      </c>
      <c r="P46" s="12" t="str">
        <f t="shared" si="4"/>
        <v>Good</v>
      </c>
      <c r="Q46" s="10"/>
      <c r="R46" s="10" t="e">
        <f t="shared" si="5"/>
        <v>#DIV/0!</v>
      </c>
      <c r="S46" s="12" t="e">
        <f t="shared" si="6"/>
        <v>#DIV/0!</v>
      </c>
    </row>
    <row r="47" spans="1:19" x14ac:dyDescent="0.25">
      <c r="A47" s="2">
        <v>1973078</v>
      </c>
      <c r="B47" s="1">
        <v>45652</v>
      </c>
      <c r="C47" s="1" t="s">
        <v>186</v>
      </c>
      <c r="D47" s="4" t="s">
        <v>18</v>
      </c>
      <c r="E47" s="4" t="s">
        <v>15</v>
      </c>
      <c r="F47" s="4" t="s">
        <v>187</v>
      </c>
      <c r="G47" s="15">
        <v>382500</v>
      </c>
      <c r="H47" s="6">
        <v>510000</v>
      </c>
      <c r="I47" s="9">
        <f t="shared" si="0"/>
        <v>0.75</v>
      </c>
      <c r="J47" s="16" t="s">
        <v>405</v>
      </c>
      <c r="L47" s="9">
        <f t="shared" si="1"/>
        <v>0.75</v>
      </c>
      <c r="M47" s="12" t="str">
        <f t="shared" si="2"/>
        <v>Good</v>
      </c>
      <c r="N47" s="10"/>
      <c r="O47" s="11" t="e">
        <f t="shared" si="3"/>
        <v>#DIV/0!</v>
      </c>
      <c r="P47" s="12" t="str">
        <f t="shared" si="4"/>
        <v>Good</v>
      </c>
      <c r="Q47" s="10"/>
      <c r="R47" s="10" t="e">
        <f t="shared" si="5"/>
        <v>#DIV/0!</v>
      </c>
      <c r="S47" s="12" t="e">
        <f t="shared" si="6"/>
        <v>#DIV/0!</v>
      </c>
    </row>
    <row r="48" spans="1:19" x14ac:dyDescent="0.25">
      <c r="A48" s="2">
        <v>1973071</v>
      </c>
      <c r="B48" s="1">
        <v>45667</v>
      </c>
      <c r="C48" s="1" t="s">
        <v>188</v>
      </c>
      <c r="D48" s="4" t="s">
        <v>189</v>
      </c>
      <c r="E48" s="4" t="s">
        <v>28</v>
      </c>
      <c r="F48" s="4" t="s">
        <v>190</v>
      </c>
      <c r="G48" s="15">
        <v>325000</v>
      </c>
      <c r="H48" s="6">
        <v>510000</v>
      </c>
      <c r="I48" s="9">
        <f t="shared" si="0"/>
        <v>0.63725490196078427</v>
      </c>
      <c r="J48" s="16" t="s">
        <v>405</v>
      </c>
      <c r="L48" s="9">
        <f t="shared" si="1"/>
        <v>0.63725490196078427</v>
      </c>
      <c r="M48" s="12" t="str">
        <f t="shared" si="2"/>
        <v>Good</v>
      </c>
      <c r="N48" s="10"/>
      <c r="O48" s="11" t="e">
        <f t="shared" si="3"/>
        <v>#DIV/0!</v>
      </c>
      <c r="P48" s="12" t="str">
        <f t="shared" si="4"/>
        <v>Good</v>
      </c>
      <c r="Q48" s="10"/>
      <c r="R48" s="10" t="e">
        <f t="shared" si="5"/>
        <v>#DIV/0!</v>
      </c>
      <c r="S48" s="12" t="e">
        <f t="shared" si="6"/>
        <v>#DIV/0!</v>
      </c>
    </row>
    <row r="49" spans="1:19" x14ac:dyDescent="0.25">
      <c r="A49" s="2">
        <v>1956864</v>
      </c>
      <c r="B49" s="1">
        <v>45664</v>
      </c>
      <c r="C49" s="1" t="s">
        <v>191</v>
      </c>
      <c r="D49" s="4" t="s">
        <v>192</v>
      </c>
      <c r="E49" s="4" t="s">
        <v>34</v>
      </c>
      <c r="F49" s="4" t="s">
        <v>193</v>
      </c>
      <c r="G49" s="15">
        <v>415000</v>
      </c>
      <c r="H49" s="6">
        <v>815000</v>
      </c>
      <c r="I49" s="9">
        <f t="shared" si="0"/>
        <v>0.50920245398773001</v>
      </c>
      <c r="J49" s="16" t="s">
        <v>406</v>
      </c>
      <c r="K49">
        <v>9.3599299999999996E-2</v>
      </c>
      <c r="L49" s="9">
        <f t="shared" si="1"/>
        <v>0.50920245398773001</v>
      </c>
      <c r="M49" s="12" t="str">
        <f t="shared" si="2"/>
        <v>Good</v>
      </c>
      <c r="N49" s="10"/>
      <c r="O49" s="11" t="e">
        <f t="shared" si="3"/>
        <v>#DIV/0!</v>
      </c>
      <c r="P49" s="12" t="str">
        <f t="shared" si="4"/>
        <v>Good</v>
      </c>
      <c r="Q49" s="10"/>
      <c r="R49" s="10" t="e">
        <f t="shared" si="5"/>
        <v>#DIV/0!</v>
      </c>
      <c r="S49" s="12" t="e">
        <f t="shared" si="6"/>
        <v>#DIV/0!</v>
      </c>
    </row>
    <row r="50" spans="1:19" x14ac:dyDescent="0.25">
      <c r="A50" s="2">
        <v>1973069</v>
      </c>
      <c r="B50" s="1">
        <v>45684</v>
      </c>
      <c r="C50" s="1" t="s">
        <v>194</v>
      </c>
      <c r="D50" s="4" t="s">
        <v>195</v>
      </c>
      <c r="E50" s="4" t="s">
        <v>28</v>
      </c>
      <c r="F50" s="4" t="s">
        <v>196</v>
      </c>
      <c r="G50" s="15">
        <v>526594</v>
      </c>
      <c r="H50" s="6">
        <v>787000</v>
      </c>
      <c r="I50" s="9">
        <f t="shared" si="0"/>
        <v>0.66911562897077514</v>
      </c>
      <c r="J50" s="16" t="s">
        <v>407</v>
      </c>
      <c r="K50">
        <v>6.7900000000000002E-2</v>
      </c>
      <c r="L50" s="9">
        <f t="shared" si="1"/>
        <v>0.66911562897077514</v>
      </c>
      <c r="M50" s="12" t="str">
        <f t="shared" si="2"/>
        <v>Good</v>
      </c>
      <c r="N50" s="10"/>
      <c r="O50" s="11" t="e">
        <f t="shared" si="3"/>
        <v>#DIV/0!</v>
      </c>
      <c r="P50" s="12" t="str">
        <f t="shared" si="4"/>
        <v>Good</v>
      </c>
      <c r="Q50" s="10"/>
      <c r="R50" s="10" t="e">
        <f t="shared" si="5"/>
        <v>#DIV/0!</v>
      </c>
      <c r="S50" s="12" t="e">
        <f t="shared" si="6"/>
        <v>#DIV/0!</v>
      </c>
    </row>
    <row r="51" spans="1:19" x14ac:dyDescent="0.25">
      <c r="A51" s="2">
        <v>1923662</v>
      </c>
      <c r="B51" s="1">
        <v>45520</v>
      </c>
      <c r="C51" s="1" t="s">
        <v>197</v>
      </c>
      <c r="D51" s="4" t="s">
        <v>198</v>
      </c>
      <c r="E51" s="4" t="s">
        <v>28</v>
      </c>
      <c r="F51" s="4" t="s">
        <v>199</v>
      </c>
      <c r="G51" s="15">
        <v>318750</v>
      </c>
      <c r="H51" s="6">
        <v>425000</v>
      </c>
      <c r="I51" s="9">
        <f t="shared" si="0"/>
        <v>0.75</v>
      </c>
      <c r="J51" s="16" t="s">
        <v>408</v>
      </c>
      <c r="K51">
        <v>0.1109989</v>
      </c>
      <c r="L51" s="9">
        <f t="shared" si="1"/>
        <v>0.75</v>
      </c>
      <c r="M51" s="12" t="str">
        <f t="shared" si="2"/>
        <v>Good</v>
      </c>
      <c r="N51" s="10"/>
      <c r="O51" s="11" t="e">
        <f t="shared" si="3"/>
        <v>#DIV/0!</v>
      </c>
      <c r="P51" s="12" t="str">
        <f t="shared" si="4"/>
        <v>Good</v>
      </c>
      <c r="Q51" s="10"/>
      <c r="R51" s="10" t="e">
        <f t="shared" si="5"/>
        <v>#DIV/0!</v>
      </c>
      <c r="S51" s="12" t="e">
        <f t="shared" si="6"/>
        <v>#DIV/0!</v>
      </c>
    </row>
    <row r="52" spans="1:19" x14ac:dyDescent="0.25">
      <c r="A52" s="2">
        <v>1923658</v>
      </c>
      <c r="B52" s="1">
        <v>45546</v>
      </c>
      <c r="C52" s="1" t="s">
        <v>200</v>
      </c>
      <c r="D52" s="4" t="s">
        <v>109</v>
      </c>
      <c r="E52" s="4" t="s">
        <v>73</v>
      </c>
      <c r="F52" s="4" t="s">
        <v>110</v>
      </c>
      <c r="G52" s="15">
        <v>2237625</v>
      </c>
      <c r="H52" s="6">
        <v>2925000</v>
      </c>
      <c r="I52" s="9">
        <f t="shared" si="0"/>
        <v>0.76500000000000001</v>
      </c>
      <c r="J52" s="16" t="s">
        <v>409</v>
      </c>
      <c r="K52">
        <v>6.6800100000000001E-2</v>
      </c>
      <c r="L52" s="9">
        <f t="shared" si="1"/>
        <v>0.76500000000000001</v>
      </c>
      <c r="M52" s="12" t="str">
        <f t="shared" si="2"/>
        <v>Good</v>
      </c>
      <c r="N52" s="10"/>
      <c r="O52" s="11" t="e">
        <f t="shared" si="3"/>
        <v>#DIV/0!</v>
      </c>
      <c r="P52" s="12" t="str">
        <f t="shared" si="4"/>
        <v>Good</v>
      </c>
      <c r="Q52" s="10"/>
      <c r="R52" s="10" t="e">
        <f t="shared" si="5"/>
        <v>#DIV/0!</v>
      </c>
      <c r="S52" s="12" t="e">
        <f t="shared" si="6"/>
        <v>#DIV/0!</v>
      </c>
    </row>
    <row r="53" spans="1:19" x14ac:dyDescent="0.25">
      <c r="A53" s="2">
        <v>1923652</v>
      </c>
      <c r="B53" s="1">
        <v>45554</v>
      </c>
      <c r="C53" s="1" t="s">
        <v>201</v>
      </c>
      <c r="D53" s="4" t="s">
        <v>202</v>
      </c>
      <c r="E53" s="4" t="s">
        <v>73</v>
      </c>
      <c r="F53" s="4" t="s">
        <v>203</v>
      </c>
      <c r="G53" s="15">
        <v>412000</v>
      </c>
      <c r="H53" s="6">
        <v>515000</v>
      </c>
      <c r="I53" s="9">
        <f t="shared" si="0"/>
        <v>0.8</v>
      </c>
      <c r="J53" s="16" t="s">
        <v>410</v>
      </c>
      <c r="K53">
        <v>8.1000299999999997E-2</v>
      </c>
      <c r="L53" s="9">
        <f t="shared" si="1"/>
        <v>0.8</v>
      </c>
      <c r="M53" s="12" t="str">
        <f t="shared" si="2"/>
        <v>Good</v>
      </c>
      <c r="N53" s="10"/>
      <c r="O53" s="11" t="e">
        <f t="shared" si="3"/>
        <v>#DIV/0!</v>
      </c>
      <c r="P53" s="12" t="str">
        <f t="shared" si="4"/>
        <v>Good</v>
      </c>
      <c r="Q53" s="10"/>
      <c r="R53" s="10" t="e">
        <f t="shared" si="5"/>
        <v>#DIV/0!</v>
      </c>
      <c r="S53" s="12" t="e">
        <f t="shared" si="6"/>
        <v>#DIV/0!</v>
      </c>
    </row>
    <row r="54" spans="1:19" x14ac:dyDescent="0.25">
      <c r="A54" s="2">
        <v>1923642</v>
      </c>
      <c r="B54" s="1">
        <v>45551</v>
      </c>
      <c r="C54" s="1" t="s">
        <v>204</v>
      </c>
      <c r="D54" s="4" t="s">
        <v>205</v>
      </c>
      <c r="E54" s="4" t="s">
        <v>9</v>
      </c>
      <c r="F54" s="4" t="s">
        <v>206</v>
      </c>
      <c r="G54" s="15">
        <v>944000</v>
      </c>
      <c r="H54" s="6">
        <v>1180000</v>
      </c>
      <c r="I54" s="9">
        <f t="shared" si="0"/>
        <v>0.8</v>
      </c>
      <c r="J54" s="16" t="s">
        <v>411</v>
      </c>
      <c r="K54">
        <v>0.15610009999999999</v>
      </c>
      <c r="L54" s="9">
        <f t="shared" si="1"/>
        <v>0.8</v>
      </c>
      <c r="M54" s="12" t="str">
        <f t="shared" si="2"/>
        <v>Good</v>
      </c>
      <c r="N54" s="10"/>
      <c r="O54" s="11" t="e">
        <f t="shared" si="3"/>
        <v>#DIV/0!</v>
      </c>
      <c r="P54" s="12" t="str">
        <f t="shared" si="4"/>
        <v>Good</v>
      </c>
      <c r="Q54" s="10"/>
      <c r="R54" s="10" t="e">
        <f t="shared" si="5"/>
        <v>#DIV/0!</v>
      </c>
      <c r="S54" s="12" t="e">
        <f t="shared" si="6"/>
        <v>#DIV/0!</v>
      </c>
    </row>
    <row r="55" spans="1:19" x14ac:dyDescent="0.25">
      <c r="A55" s="2">
        <v>1923657</v>
      </c>
      <c r="B55" s="1">
        <v>45555</v>
      </c>
      <c r="C55" s="1" t="s">
        <v>207</v>
      </c>
      <c r="D55" s="4" t="s">
        <v>208</v>
      </c>
      <c r="E55" s="4" t="s">
        <v>172</v>
      </c>
      <c r="F55" s="4" t="s">
        <v>209</v>
      </c>
      <c r="G55" s="15">
        <v>571200</v>
      </c>
      <c r="H55" s="6">
        <v>714000</v>
      </c>
      <c r="I55" s="9">
        <f t="shared" si="0"/>
        <v>0.8</v>
      </c>
      <c r="J55" s="16" t="s">
        <v>412</v>
      </c>
      <c r="K55">
        <v>6.1200699999999997E-2</v>
      </c>
      <c r="L55" s="9">
        <f t="shared" si="1"/>
        <v>0.8</v>
      </c>
      <c r="M55" s="12" t="str">
        <f t="shared" si="2"/>
        <v>Good</v>
      </c>
      <c r="N55" s="10"/>
      <c r="O55" s="11" t="e">
        <f t="shared" si="3"/>
        <v>#DIV/0!</v>
      </c>
      <c r="P55" s="12" t="str">
        <f t="shared" si="4"/>
        <v>Good</v>
      </c>
      <c r="Q55" s="10"/>
      <c r="R55" s="10" t="e">
        <f t="shared" si="5"/>
        <v>#DIV/0!</v>
      </c>
      <c r="S55" s="12" t="e">
        <f t="shared" si="6"/>
        <v>#DIV/0!</v>
      </c>
    </row>
    <row r="56" spans="1:19" x14ac:dyDescent="0.25">
      <c r="A56" s="2">
        <v>1923654</v>
      </c>
      <c r="B56" s="1">
        <v>45559</v>
      </c>
      <c r="C56" s="1" t="s">
        <v>210</v>
      </c>
      <c r="D56" s="4" t="s">
        <v>211</v>
      </c>
      <c r="E56" s="4" t="s">
        <v>212</v>
      </c>
      <c r="F56" s="4" t="s">
        <v>213</v>
      </c>
      <c r="G56" s="15">
        <v>750000</v>
      </c>
      <c r="H56" s="6">
        <v>1050000</v>
      </c>
      <c r="I56" s="9">
        <f t="shared" si="0"/>
        <v>0.7142857142857143</v>
      </c>
      <c r="J56" s="16" t="s">
        <v>413</v>
      </c>
      <c r="L56" s="9">
        <f t="shared" si="1"/>
        <v>0.7142857142857143</v>
      </c>
      <c r="M56" s="12" t="str">
        <f t="shared" si="2"/>
        <v>Good</v>
      </c>
      <c r="N56" s="10"/>
      <c r="O56" s="11" t="e">
        <f t="shared" si="3"/>
        <v>#DIV/0!</v>
      </c>
      <c r="P56" s="12" t="str">
        <f t="shared" si="4"/>
        <v>Good</v>
      </c>
      <c r="Q56" s="10"/>
      <c r="R56" s="10" t="e">
        <f t="shared" si="5"/>
        <v>#DIV/0!</v>
      </c>
      <c r="S56" s="12" t="e">
        <f t="shared" si="6"/>
        <v>#DIV/0!</v>
      </c>
    </row>
    <row r="57" spans="1:19" x14ac:dyDescent="0.25">
      <c r="A57" s="2">
        <v>1643193</v>
      </c>
      <c r="B57" s="1">
        <v>44830</v>
      </c>
      <c r="C57" s="1" t="s">
        <v>214</v>
      </c>
      <c r="D57" s="4" t="s">
        <v>215</v>
      </c>
      <c r="E57" s="4" t="s">
        <v>28</v>
      </c>
      <c r="F57" s="4" t="s">
        <v>216</v>
      </c>
      <c r="G57" s="15">
        <v>270000</v>
      </c>
      <c r="H57" s="6">
        <v>490000</v>
      </c>
      <c r="I57" s="9">
        <f t="shared" si="0"/>
        <v>0.55102040816326525</v>
      </c>
      <c r="J57" s="16" t="s">
        <v>414</v>
      </c>
      <c r="K57">
        <v>7.6499600000000001E-2</v>
      </c>
      <c r="L57" s="9">
        <f t="shared" si="1"/>
        <v>0.55102040816326525</v>
      </c>
      <c r="M57" s="12" t="str">
        <f t="shared" si="2"/>
        <v>Good</v>
      </c>
      <c r="N57" s="10"/>
      <c r="O57" s="11" t="e">
        <f t="shared" si="3"/>
        <v>#DIV/0!</v>
      </c>
      <c r="P57" s="12" t="str">
        <f t="shared" si="4"/>
        <v>Good</v>
      </c>
      <c r="Q57" s="10"/>
      <c r="R57" s="10" t="e">
        <f t="shared" si="5"/>
        <v>#DIV/0!</v>
      </c>
      <c r="S57" s="12" t="e">
        <f t="shared" si="6"/>
        <v>#DIV/0!</v>
      </c>
    </row>
    <row r="58" spans="1:19" x14ac:dyDescent="0.25">
      <c r="A58" s="2">
        <v>1722484</v>
      </c>
      <c r="B58" s="1">
        <v>44959</v>
      </c>
      <c r="C58" s="1" t="s">
        <v>217</v>
      </c>
      <c r="D58" s="4" t="s">
        <v>218</v>
      </c>
      <c r="E58" s="4" t="s">
        <v>27</v>
      </c>
      <c r="F58" s="4" t="s">
        <v>219</v>
      </c>
      <c r="G58" s="15">
        <v>301000</v>
      </c>
      <c r="H58" s="6">
        <v>468000</v>
      </c>
      <c r="I58" s="9">
        <f t="shared" si="0"/>
        <v>0.64316239316239321</v>
      </c>
      <c r="J58" s="16" t="s">
        <v>395</v>
      </c>
      <c r="K58">
        <v>6.8199999999999997E-2</v>
      </c>
      <c r="L58" s="9">
        <f t="shared" si="1"/>
        <v>0.64316239316239321</v>
      </c>
      <c r="M58" s="12" t="str">
        <f t="shared" si="2"/>
        <v>Good</v>
      </c>
      <c r="N58" s="10"/>
      <c r="O58" s="11" t="e">
        <f t="shared" si="3"/>
        <v>#DIV/0!</v>
      </c>
      <c r="P58" s="12" t="str">
        <f t="shared" si="4"/>
        <v>Good</v>
      </c>
      <c r="Q58" s="10"/>
      <c r="R58" s="10" t="e">
        <f t="shared" si="5"/>
        <v>#DIV/0!</v>
      </c>
      <c r="S58" s="12" t="e">
        <f t="shared" si="6"/>
        <v>#DIV/0!</v>
      </c>
    </row>
    <row r="59" spans="1:19" x14ac:dyDescent="0.25">
      <c r="A59" s="2">
        <v>1944830</v>
      </c>
      <c r="B59" s="1">
        <v>45511</v>
      </c>
      <c r="C59" s="1" t="s">
        <v>220</v>
      </c>
      <c r="D59" s="4" t="s">
        <v>221</v>
      </c>
      <c r="E59" s="4" t="s">
        <v>13</v>
      </c>
      <c r="F59" s="4" t="s">
        <v>222</v>
      </c>
      <c r="G59" s="15">
        <v>432000</v>
      </c>
      <c r="H59" s="6">
        <v>540000</v>
      </c>
      <c r="I59" s="9">
        <f t="shared" si="0"/>
        <v>0.8</v>
      </c>
      <c r="J59" s="16" t="s">
        <v>401</v>
      </c>
      <c r="K59">
        <v>7.3099499999999998E-2</v>
      </c>
      <c r="L59" s="9">
        <f t="shared" si="1"/>
        <v>0.8</v>
      </c>
      <c r="M59" s="12" t="str">
        <f t="shared" si="2"/>
        <v>Good</v>
      </c>
      <c r="N59" s="10"/>
      <c r="O59" s="11" t="e">
        <f t="shared" si="3"/>
        <v>#DIV/0!</v>
      </c>
      <c r="P59" s="12" t="str">
        <f t="shared" si="4"/>
        <v>Good</v>
      </c>
      <c r="Q59" s="10"/>
      <c r="R59" s="10" t="e">
        <f t="shared" si="5"/>
        <v>#DIV/0!</v>
      </c>
      <c r="S59" s="12" t="e">
        <f t="shared" si="6"/>
        <v>#DIV/0!</v>
      </c>
    </row>
    <row r="60" spans="1:19" x14ac:dyDescent="0.25">
      <c r="A60" s="2">
        <v>1944831</v>
      </c>
      <c r="B60" s="1">
        <v>45513</v>
      </c>
      <c r="C60" s="1" t="s">
        <v>223</v>
      </c>
      <c r="D60" s="4" t="s">
        <v>224</v>
      </c>
      <c r="E60" s="4" t="s">
        <v>25</v>
      </c>
      <c r="F60" s="4" t="s">
        <v>225</v>
      </c>
      <c r="G60" s="15">
        <v>444000</v>
      </c>
      <c r="H60" s="6">
        <v>555000</v>
      </c>
      <c r="I60" s="9">
        <f t="shared" si="0"/>
        <v>0.8</v>
      </c>
      <c r="J60" s="16" t="s">
        <v>415</v>
      </c>
      <c r="K60">
        <v>9.6699400000000005E-2</v>
      </c>
      <c r="L60" s="9">
        <f t="shared" si="1"/>
        <v>0.8</v>
      </c>
      <c r="M60" s="12" t="str">
        <f t="shared" si="2"/>
        <v>Good</v>
      </c>
      <c r="N60" s="10"/>
      <c r="O60" s="11" t="e">
        <f t="shared" si="3"/>
        <v>#DIV/0!</v>
      </c>
      <c r="P60" s="12" t="str">
        <f t="shared" si="4"/>
        <v>Good</v>
      </c>
      <c r="Q60" s="10"/>
      <c r="R60" s="10" t="e">
        <f t="shared" si="5"/>
        <v>#DIV/0!</v>
      </c>
      <c r="S60" s="12" t="e">
        <f t="shared" si="6"/>
        <v>#DIV/0!</v>
      </c>
    </row>
    <row r="61" spans="1:19" x14ac:dyDescent="0.25">
      <c r="A61" s="2">
        <v>1891929</v>
      </c>
      <c r="B61" s="1">
        <v>45512</v>
      </c>
      <c r="C61" s="1" t="s">
        <v>226</v>
      </c>
      <c r="D61" s="4" t="s">
        <v>227</v>
      </c>
      <c r="E61" s="4" t="s">
        <v>13</v>
      </c>
      <c r="F61" s="4" t="s">
        <v>228</v>
      </c>
      <c r="G61" s="15">
        <v>436000</v>
      </c>
      <c r="H61" s="6">
        <v>545000</v>
      </c>
      <c r="I61" s="9">
        <f t="shared" ref="I61" si="7">G61/H61</f>
        <v>0.8</v>
      </c>
      <c r="J61" s="16" t="s">
        <v>416</v>
      </c>
      <c r="K61">
        <v>7.7499899999999997E-2</v>
      </c>
      <c r="L61" s="9">
        <f t="shared" ref="L61" si="8">G61/J61</f>
        <v>0.8</v>
      </c>
      <c r="M61" s="12" t="str">
        <f t="shared" ref="M61" si="9">IF(L61&gt;90%,"Order BPO","Good")</f>
        <v>Good</v>
      </c>
      <c r="N61" s="10"/>
      <c r="O61" s="11" t="e">
        <f t="shared" ref="O61" si="10">G61/N61</f>
        <v>#DIV/0!</v>
      </c>
      <c r="P61" s="12" t="str">
        <f t="shared" ref="P61" si="11">IF(L61&gt;90%,"Order BPO","Good")</f>
        <v>Good</v>
      </c>
      <c r="Q61" s="10"/>
      <c r="R61" s="10" t="e">
        <f t="shared" ref="R61" si="12">G61/Q61</f>
        <v>#DIV/0!</v>
      </c>
      <c r="S61" s="12" t="e">
        <f t="shared" ref="S61" si="13">IF(R61&gt;100%,"Take out of Deal","keep in deal")</f>
        <v>#DIV/0!</v>
      </c>
    </row>
    <row r="62" spans="1:19" x14ac:dyDescent="0.25">
      <c r="A62" s="2">
        <v>1923710</v>
      </c>
      <c r="B62" s="1">
        <v>45566</v>
      </c>
      <c r="C62" s="1" t="s">
        <v>229</v>
      </c>
      <c r="D62" s="4" t="s">
        <v>37</v>
      </c>
      <c r="E62" s="4" t="s">
        <v>15</v>
      </c>
      <c r="F62" s="4" t="s">
        <v>230</v>
      </c>
      <c r="G62" s="5">
        <v>200000</v>
      </c>
      <c r="H62" s="6">
        <v>293000</v>
      </c>
      <c r="I62" s="9">
        <f t="shared" ref="I62:I110" si="14">G62/H62</f>
        <v>0.68259385665529015</v>
      </c>
      <c r="J62" s="16" t="s">
        <v>417</v>
      </c>
      <c r="K62">
        <v>0.16880010000000001</v>
      </c>
      <c r="L62" s="9">
        <f t="shared" ref="L62:L110" si="15">G62/J62</f>
        <v>0.68259385665529015</v>
      </c>
      <c r="M62" s="12" t="str">
        <f t="shared" ref="M62:M110" si="16">IF(L62&gt;90%,"Order BPO","Good")</f>
        <v>Good</v>
      </c>
      <c r="N62" s="10"/>
      <c r="O62" s="11" t="e">
        <f t="shared" ref="O62:O110" si="17">G62/N62</f>
        <v>#DIV/0!</v>
      </c>
      <c r="P62" s="12" t="str">
        <f t="shared" ref="P62:P110" si="18">IF(L62&gt;90%,"Order BPO","Good")</f>
        <v>Good</v>
      </c>
      <c r="Q62" s="10"/>
      <c r="R62" s="10" t="e">
        <f t="shared" ref="R62:R110" si="19">G62/Q62</f>
        <v>#DIV/0!</v>
      </c>
      <c r="S62" s="12" t="e">
        <f t="shared" ref="S62:S110" si="20">IF(R62&gt;100%,"Take out of Deal","keep in deal")</f>
        <v>#DIV/0!</v>
      </c>
    </row>
    <row r="63" spans="1:19" x14ac:dyDescent="0.25">
      <c r="A63" s="2">
        <v>1901191</v>
      </c>
      <c r="B63" s="1">
        <v>45590</v>
      </c>
      <c r="C63" s="1" t="s">
        <v>231</v>
      </c>
      <c r="D63" s="4" t="s">
        <v>232</v>
      </c>
      <c r="E63" s="4" t="s">
        <v>13</v>
      </c>
      <c r="F63" s="4" t="s">
        <v>233</v>
      </c>
      <c r="G63" s="5">
        <v>760000</v>
      </c>
      <c r="H63" s="6">
        <v>950000</v>
      </c>
      <c r="I63" s="9">
        <f t="shared" si="14"/>
        <v>0.8</v>
      </c>
      <c r="J63" s="16" t="s">
        <v>418</v>
      </c>
      <c r="K63">
        <v>0.18770049999999999</v>
      </c>
      <c r="L63" s="9">
        <f t="shared" si="15"/>
        <v>0.8</v>
      </c>
      <c r="M63" s="12" t="str">
        <f t="shared" si="16"/>
        <v>Good</v>
      </c>
      <c r="N63" s="10"/>
      <c r="O63" s="11" t="e">
        <f t="shared" si="17"/>
        <v>#DIV/0!</v>
      </c>
      <c r="P63" s="12" t="str">
        <f t="shared" si="18"/>
        <v>Good</v>
      </c>
      <c r="Q63" s="10"/>
      <c r="R63" s="10" t="e">
        <f t="shared" si="19"/>
        <v>#DIV/0!</v>
      </c>
      <c r="S63" s="12" t="e">
        <f t="shared" si="20"/>
        <v>#DIV/0!</v>
      </c>
    </row>
    <row r="64" spans="1:19" x14ac:dyDescent="0.25">
      <c r="A64" s="2">
        <v>1901200</v>
      </c>
      <c r="B64" s="1">
        <v>45595</v>
      </c>
      <c r="C64" s="1" t="s">
        <v>234</v>
      </c>
      <c r="D64" s="4" t="s">
        <v>235</v>
      </c>
      <c r="E64" s="4" t="s">
        <v>28</v>
      </c>
      <c r="F64" s="4" t="s">
        <v>236</v>
      </c>
      <c r="G64" s="5">
        <v>975000</v>
      </c>
      <c r="H64" s="6">
        <v>1300000</v>
      </c>
      <c r="I64" s="9">
        <f t="shared" si="14"/>
        <v>0.75</v>
      </c>
      <c r="J64" s="16" t="s">
        <v>419</v>
      </c>
      <c r="L64" s="9">
        <f t="shared" si="15"/>
        <v>0.75</v>
      </c>
      <c r="M64" s="12" t="str">
        <f t="shared" si="16"/>
        <v>Good</v>
      </c>
      <c r="N64" s="10"/>
      <c r="O64" s="11" t="e">
        <f t="shared" si="17"/>
        <v>#DIV/0!</v>
      </c>
      <c r="P64" s="12" t="str">
        <f t="shared" si="18"/>
        <v>Good</v>
      </c>
      <c r="Q64" s="10"/>
      <c r="R64" s="10" t="e">
        <f t="shared" si="19"/>
        <v>#DIV/0!</v>
      </c>
      <c r="S64" s="12" t="e">
        <f t="shared" si="20"/>
        <v>#DIV/0!</v>
      </c>
    </row>
    <row r="65" spans="1:19" x14ac:dyDescent="0.25">
      <c r="A65" s="2">
        <v>1901757</v>
      </c>
      <c r="B65" s="1">
        <v>45584</v>
      </c>
      <c r="C65" s="1" t="s">
        <v>237</v>
      </c>
      <c r="D65" s="4" t="s">
        <v>238</v>
      </c>
      <c r="E65" s="4" t="s">
        <v>239</v>
      </c>
      <c r="F65" s="4" t="s">
        <v>240</v>
      </c>
      <c r="G65" s="5">
        <v>660000</v>
      </c>
      <c r="H65" s="6">
        <v>1125000</v>
      </c>
      <c r="I65" s="9">
        <f t="shared" si="14"/>
        <v>0.58666666666666667</v>
      </c>
      <c r="J65" s="16" t="s">
        <v>420</v>
      </c>
      <c r="K65">
        <v>0.1098997</v>
      </c>
      <c r="L65" s="9">
        <f t="shared" si="15"/>
        <v>0.58666666666666667</v>
      </c>
      <c r="M65" s="12" t="str">
        <f t="shared" si="16"/>
        <v>Good</v>
      </c>
      <c r="N65" s="10"/>
      <c r="O65" s="11" t="e">
        <f t="shared" si="17"/>
        <v>#DIV/0!</v>
      </c>
      <c r="P65" s="12" t="str">
        <f t="shared" si="18"/>
        <v>Good</v>
      </c>
      <c r="Q65" s="10"/>
      <c r="R65" s="10" t="e">
        <f t="shared" si="19"/>
        <v>#DIV/0!</v>
      </c>
      <c r="S65" s="12" t="e">
        <f t="shared" si="20"/>
        <v>#DIV/0!</v>
      </c>
    </row>
    <row r="66" spans="1:19" x14ac:dyDescent="0.25">
      <c r="A66" s="2">
        <v>1939515</v>
      </c>
      <c r="B66" s="1">
        <v>45596</v>
      </c>
      <c r="C66" s="1" t="s">
        <v>241</v>
      </c>
      <c r="D66" s="4" t="s">
        <v>242</v>
      </c>
      <c r="E66" s="4" t="s">
        <v>13</v>
      </c>
      <c r="F66" s="4" t="s">
        <v>243</v>
      </c>
      <c r="G66" s="5">
        <v>247500</v>
      </c>
      <c r="H66" s="6">
        <v>275000</v>
      </c>
      <c r="I66" s="9">
        <f t="shared" si="14"/>
        <v>0.9</v>
      </c>
      <c r="J66" s="16" t="s">
        <v>367</v>
      </c>
      <c r="K66">
        <v>3.6198800000000003E-2</v>
      </c>
      <c r="L66" s="9">
        <f t="shared" si="15"/>
        <v>0.9</v>
      </c>
      <c r="M66" s="12" t="str">
        <f t="shared" si="16"/>
        <v>Good</v>
      </c>
      <c r="N66" s="10"/>
      <c r="O66" s="11" t="e">
        <f t="shared" si="17"/>
        <v>#DIV/0!</v>
      </c>
      <c r="P66" s="12" t="str">
        <f t="shared" si="18"/>
        <v>Good</v>
      </c>
      <c r="Q66" s="10"/>
      <c r="R66" s="10" t="e">
        <f t="shared" si="19"/>
        <v>#DIV/0!</v>
      </c>
      <c r="S66" s="12" t="e">
        <f t="shared" si="20"/>
        <v>#DIV/0!</v>
      </c>
    </row>
    <row r="67" spans="1:19" x14ac:dyDescent="0.25">
      <c r="A67" s="2">
        <v>1901764</v>
      </c>
      <c r="B67" s="1">
        <v>45603</v>
      </c>
      <c r="C67" s="1" t="s">
        <v>244</v>
      </c>
      <c r="D67" s="4" t="s">
        <v>245</v>
      </c>
      <c r="E67" s="4" t="s">
        <v>28</v>
      </c>
      <c r="F67" s="4" t="s">
        <v>246</v>
      </c>
      <c r="G67" s="5">
        <v>652500</v>
      </c>
      <c r="H67" s="6">
        <v>725000</v>
      </c>
      <c r="I67" s="9">
        <f t="shared" si="14"/>
        <v>0.9</v>
      </c>
      <c r="J67" s="16" t="s">
        <v>421</v>
      </c>
      <c r="K67">
        <v>8.6100599999999999E-2</v>
      </c>
      <c r="L67" s="9">
        <f t="shared" si="15"/>
        <v>0.9</v>
      </c>
      <c r="M67" s="12" t="str">
        <f t="shared" si="16"/>
        <v>Good</v>
      </c>
      <c r="N67" s="10"/>
      <c r="O67" s="11" t="e">
        <f t="shared" si="17"/>
        <v>#DIV/0!</v>
      </c>
      <c r="P67" s="12" t="str">
        <f t="shared" si="18"/>
        <v>Good</v>
      </c>
      <c r="Q67" s="10"/>
      <c r="R67" s="10" t="e">
        <f t="shared" si="19"/>
        <v>#DIV/0!</v>
      </c>
      <c r="S67" s="12" t="e">
        <f t="shared" si="20"/>
        <v>#DIV/0!</v>
      </c>
    </row>
    <row r="68" spans="1:19" x14ac:dyDescent="0.25">
      <c r="A68" s="2">
        <v>1939842</v>
      </c>
      <c r="B68" s="1">
        <v>45600</v>
      </c>
      <c r="C68" s="1" t="s">
        <v>247</v>
      </c>
      <c r="D68" s="4" t="s">
        <v>248</v>
      </c>
      <c r="E68" s="4" t="s">
        <v>28</v>
      </c>
      <c r="F68" s="4" t="s">
        <v>249</v>
      </c>
      <c r="G68" s="5">
        <v>875250</v>
      </c>
      <c r="H68" s="6">
        <v>972500</v>
      </c>
      <c r="I68" s="9">
        <f t="shared" si="14"/>
        <v>0.9</v>
      </c>
      <c r="J68" s="16" t="s">
        <v>422</v>
      </c>
      <c r="K68">
        <v>0.12570039999999999</v>
      </c>
      <c r="L68" s="9">
        <f t="shared" si="15"/>
        <v>0.9</v>
      </c>
      <c r="M68" s="12" t="str">
        <f t="shared" si="16"/>
        <v>Good</v>
      </c>
      <c r="N68" s="10"/>
      <c r="O68" s="11" t="e">
        <f t="shared" si="17"/>
        <v>#DIV/0!</v>
      </c>
      <c r="P68" s="12" t="str">
        <f t="shared" si="18"/>
        <v>Good</v>
      </c>
      <c r="Q68" s="10"/>
      <c r="R68" s="10" t="e">
        <f t="shared" si="19"/>
        <v>#DIV/0!</v>
      </c>
      <c r="S68" s="12" t="e">
        <f t="shared" si="20"/>
        <v>#DIV/0!</v>
      </c>
    </row>
    <row r="69" spans="1:19" x14ac:dyDescent="0.25">
      <c r="A69" s="2">
        <v>1901758</v>
      </c>
      <c r="B69" s="1">
        <v>45601</v>
      </c>
      <c r="C69" s="1" t="s">
        <v>250</v>
      </c>
      <c r="D69" s="4" t="s">
        <v>251</v>
      </c>
      <c r="E69" s="4" t="s">
        <v>28</v>
      </c>
      <c r="F69" s="4" t="s">
        <v>252</v>
      </c>
      <c r="G69" s="5">
        <v>937375</v>
      </c>
      <c r="H69" s="6">
        <v>1250000</v>
      </c>
      <c r="I69" s="9">
        <f t="shared" si="14"/>
        <v>0.74990000000000001</v>
      </c>
      <c r="J69" s="16" t="s">
        <v>423</v>
      </c>
      <c r="K69">
        <v>9.71003E-2</v>
      </c>
      <c r="L69" s="9">
        <f t="shared" si="15"/>
        <v>0.74990000000000001</v>
      </c>
      <c r="M69" s="12" t="str">
        <f t="shared" si="16"/>
        <v>Good</v>
      </c>
      <c r="N69" s="10"/>
      <c r="O69" s="11" t="e">
        <f t="shared" si="17"/>
        <v>#DIV/0!</v>
      </c>
      <c r="P69" s="12" t="str">
        <f t="shared" si="18"/>
        <v>Good</v>
      </c>
      <c r="Q69" s="10"/>
      <c r="R69" s="10" t="e">
        <f t="shared" si="19"/>
        <v>#DIV/0!</v>
      </c>
      <c r="S69" s="12" t="e">
        <f t="shared" si="20"/>
        <v>#DIV/0!</v>
      </c>
    </row>
    <row r="70" spans="1:19" x14ac:dyDescent="0.25">
      <c r="A70" s="2">
        <v>1901761</v>
      </c>
      <c r="B70" s="1">
        <v>45609</v>
      </c>
      <c r="C70" s="1" t="s">
        <v>253</v>
      </c>
      <c r="D70" s="4" t="s">
        <v>254</v>
      </c>
      <c r="E70" s="4" t="s">
        <v>27</v>
      </c>
      <c r="F70" s="4" t="s">
        <v>255</v>
      </c>
      <c r="G70" s="5">
        <v>524000</v>
      </c>
      <c r="H70" s="6">
        <v>655000</v>
      </c>
      <c r="I70" s="9">
        <f t="shared" si="14"/>
        <v>0.8</v>
      </c>
      <c r="J70" s="16" t="s">
        <v>424</v>
      </c>
      <c r="K70">
        <v>9.4900600000000002E-2</v>
      </c>
      <c r="L70" s="9">
        <f t="shared" si="15"/>
        <v>0.8</v>
      </c>
      <c r="M70" s="12" t="str">
        <f t="shared" si="16"/>
        <v>Good</v>
      </c>
      <c r="N70" s="10"/>
      <c r="O70" s="11" t="e">
        <f t="shared" si="17"/>
        <v>#DIV/0!</v>
      </c>
      <c r="P70" s="12" t="str">
        <f t="shared" si="18"/>
        <v>Good</v>
      </c>
      <c r="Q70" s="10"/>
      <c r="R70" s="10" t="e">
        <f t="shared" si="19"/>
        <v>#DIV/0!</v>
      </c>
      <c r="S70" s="12" t="e">
        <f t="shared" si="20"/>
        <v>#DIV/0!</v>
      </c>
    </row>
    <row r="71" spans="1:19" x14ac:dyDescent="0.25">
      <c r="A71" s="2">
        <v>1901755</v>
      </c>
      <c r="B71" s="1">
        <v>45610</v>
      </c>
      <c r="C71" s="1" t="s">
        <v>256</v>
      </c>
      <c r="D71" s="4" t="s">
        <v>257</v>
      </c>
      <c r="E71" s="4" t="s">
        <v>7</v>
      </c>
      <c r="F71" s="4" t="s">
        <v>258</v>
      </c>
      <c r="G71" s="5">
        <v>284000</v>
      </c>
      <c r="H71" s="6">
        <v>355000</v>
      </c>
      <c r="I71" s="9">
        <f t="shared" si="14"/>
        <v>0.8</v>
      </c>
      <c r="J71" s="16" t="s">
        <v>376</v>
      </c>
      <c r="K71">
        <v>5.9799100000000001E-2</v>
      </c>
      <c r="L71" s="9">
        <f t="shared" si="15"/>
        <v>0.8</v>
      </c>
      <c r="M71" s="12" t="str">
        <f t="shared" si="16"/>
        <v>Good</v>
      </c>
      <c r="N71" s="10"/>
      <c r="O71" s="11" t="e">
        <f t="shared" si="17"/>
        <v>#DIV/0!</v>
      </c>
      <c r="P71" s="12" t="str">
        <f t="shared" si="18"/>
        <v>Good</v>
      </c>
      <c r="Q71" s="10"/>
      <c r="R71" s="10" t="e">
        <f t="shared" si="19"/>
        <v>#DIV/0!</v>
      </c>
      <c r="S71" s="12" t="e">
        <f t="shared" si="20"/>
        <v>#DIV/0!</v>
      </c>
    </row>
    <row r="72" spans="1:19" x14ac:dyDescent="0.25">
      <c r="A72" s="2">
        <v>1901743</v>
      </c>
      <c r="B72" s="1">
        <v>45607</v>
      </c>
      <c r="C72" s="1" t="s">
        <v>259</v>
      </c>
      <c r="D72" s="4" t="s">
        <v>260</v>
      </c>
      <c r="E72" s="4" t="s">
        <v>28</v>
      </c>
      <c r="F72" s="4" t="s">
        <v>261</v>
      </c>
      <c r="G72" s="5">
        <v>1734000</v>
      </c>
      <c r="H72" s="6">
        <v>2040000</v>
      </c>
      <c r="I72" s="9">
        <f t="shared" si="14"/>
        <v>0.85</v>
      </c>
      <c r="J72" s="16" t="s">
        <v>425</v>
      </c>
      <c r="K72">
        <v>8.4800200000000006E-2</v>
      </c>
      <c r="L72" s="9">
        <f t="shared" si="15"/>
        <v>0.85</v>
      </c>
      <c r="M72" s="12" t="str">
        <f t="shared" si="16"/>
        <v>Good</v>
      </c>
      <c r="N72" s="10"/>
      <c r="O72" s="11" t="e">
        <f t="shared" si="17"/>
        <v>#DIV/0!</v>
      </c>
      <c r="P72" s="12" t="str">
        <f t="shared" si="18"/>
        <v>Good</v>
      </c>
      <c r="Q72" s="10"/>
      <c r="R72" s="10" t="e">
        <f t="shared" si="19"/>
        <v>#DIV/0!</v>
      </c>
      <c r="S72" s="12" t="e">
        <f t="shared" si="20"/>
        <v>#DIV/0!</v>
      </c>
    </row>
    <row r="73" spans="1:19" x14ac:dyDescent="0.25">
      <c r="A73" s="2">
        <v>1923715</v>
      </c>
      <c r="B73" s="1">
        <v>45610</v>
      </c>
      <c r="C73" s="1" t="s">
        <v>262</v>
      </c>
      <c r="D73" s="4" t="s">
        <v>263</v>
      </c>
      <c r="E73" s="4" t="s">
        <v>28</v>
      </c>
      <c r="F73" s="4" t="s">
        <v>264</v>
      </c>
      <c r="G73" s="5">
        <v>215000</v>
      </c>
      <c r="H73" s="6">
        <v>465000</v>
      </c>
      <c r="I73" s="9">
        <f t="shared" si="14"/>
        <v>0.46236559139784944</v>
      </c>
      <c r="J73" s="16" t="s">
        <v>426</v>
      </c>
      <c r="K73">
        <v>8.8800000000000004E-2</v>
      </c>
      <c r="L73" s="9">
        <f t="shared" si="15"/>
        <v>0.46236559139784944</v>
      </c>
      <c r="M73" s="12" t="str">
        <f t="shared" si="16"/>
        <v>Good</v>
      </c>
      <c r="N73" s="10"/>
      <c r="O73" s="11" t="e">
        <f t="shared" si="17"/>
        <v>#DIV/0!</v>
      </c>
      <c r="P73" s="12" t="str">
        <f t="shared" si="18"/>
        <v>Good</v>
      </c>
      <c r="Q73" s="10"/>
      <c r="R73" s="10" t="e">
        <f t="shared" si="19"/>
        <v>#DIV/0!</v>
      </c>
      <c r="S73" s="12" t="e">
        <f t="shared" si="20"/>
        <v>#DIV/0!</v>
      </c>
    </row>
    <row r="74" spans="1:19" x14ac:dyDescent="0.25">
      <c r="A74" s="2">
        <v>1923690</v>
      </c>
      <c r="B74" s="1">
        <v>45617</v>
      </c>
      <c r="C74" s="1" t="s">
        <v>265</v>
      </c>
      <c r="D74" s="4" t="s">
        <v>266</v>
      </c>
      <c r="E74" s="4" t="s">
        <v>33</v>
      </c>
      <c r="F74" s="4" t="s">
        <v>267</v>
      </c>
      <c r="G74" s="5">
        <v>422550</v>
      </c>
      <c r="H74" s="6">
        <v>469500</v>
      </c>
      <c r="I74" s="9">
        <f t="shared" si="14"/>
        <v>0.9</v>
      </c>
      <c r="J74" s="16" t="s">
        <v>427</v>
      </c>
      <c r="K74">
        <v>4.4600300000000002E-2</v>
      </c>
      <c r="L74" s="9">
        <f t="shared" si="15"/>
        <v>0.9</v>
      </c>
      <c r="M74" s="12" t="str">
        <f t="shared" si="16"/>
        <v>Good</v>
      </c>
      <c r="N74" s="10"/>
      <c r="O74" s="11" t="e">
        <f t="shared" si="17"/>
        <v>#DIV/0!</v>
      </c>
      <c r="P74" s="12" t="str">
        <f t="shared" si="18"/>
        <v>Good</v>
      </c>
      <c r="Q74" s="10"/>
      <c r="R74" s="10" t="e">
        <f t="shared" si="19"/>
        <v>#DIV/0!</v>
      </c>
      <c r="S74" s="12" t="e">
        <f t="shared" si="20"/>
        <v>#DIV/0!</v>
      </c>
    </row>
    <row r="75" spans="1:19" x14ac:dyDescent="0.25">
      <c r="A75" s="2">
        <v>1923687</v>
      </c>
      <c r="B75" s="1">
        <v>45617</v>
      </c>
      <c r="C75" s="1" t="s">
        <v>268</v>
      </c>
      <c r="D75" s="4" t="s">
        <v>269</v>
      </c>
      <c r="E75" s="4" t="s">
        <v>21</v>
      </c>
      <c r="F75" s="4" t="s">
        <v>270</v>
      </c>
      <c r="G75" s="5">
        <v>305625</v>
      </c>
      <c r="H75" s="6">
        <v>407500</v>
      </c>
      <c r="I75" s="9">
        <f t="shared" si="14"/>
        <v>0.75</v>
      </c>
      <c r="J75" s="16" t="s">
        <v>428</v>
      </c>
      <c r="K75">
        <v>7.8200000000000006E-2</v>
      </c>
      <c r="L75" s="9">
        <f t="shared" si="15"/>
        <v>0.75</v>
      </c>
      <c r="M75" s="12" t="str">
        <f t="shared" si="16"/>
        <v>Good</v>
      </c>
      <c r="N75" s="10"/>
      <c r="O75" s="11" t="e">
        <f t="shared" si="17"/>
        <v>#DIV/0!</v>
      </c>
      <c r="P75" s="12" t="str">
        <f t="shared" si="18"/>
        <v>Good</v>
      </c>
      <c r="Q75" s="10"/>
      <c r="R75" s="10" t="e">
        <f t="shared" si="19"/>
        <v>#DIV/0!</v>
      </c>
      <c r="S75" s="12" t="e">
        <f t="shared" si="20"/>
        <v>#DIV/0!</v>
      </c>
    </row>
    <row r="76" spans="1:19" x14ac:dyDescent="0.25">
      <c r="A76" s="2">
        <v>1939844</v>
      </c>
      <c r="B76" s="1">
        <v>45616</v>
      </c>
      <c r="C76" s="1" t="s">
        <v>271</v>
      </c>
      <c r="D76" s="4" t="s">
        <v>272</v>
      </c>
      <c r="E76" s="4" t="s">
        <v>13</v>
      </c>
      <c r="F76" s="4" t="s">
        <v>273</v>
      </c>
      <c r="G76" s="5">
        <v>386991</v>
      </c>
      <c r="H76" s="6">
        <v>429990</v>
      </c>
      <c r="I76" s="9">
        <f t="shared" si="14"/>
        <v>0.9</v>
      </c>
      <c r="J76" s="16" t="s">
        <v>429</v>
      </c>
      <c r="L76" s="9">
        <f t="shared" si="15"/>
        <v>0.9</v>
      </c>
      <c r="M76" s="12" t="str">
        <f t="shared" si="16"/>
        <v>Good</v>
      </c>
      <c r="N76" s="10"/>
      <c r="O76" s="11" t="e">
        <f t="shared" si="17"/>
        <v>#DIV/0!</v>
      </c>
      <c r="P76" s="12" t="str">
        <f t="shared" si="18"/>
        <v>Good</v>
      </c>
      <c r="Q76" s="10"/>
      <c r="R76" s="10" t="e">
        <f t="shared" si="19"/>
        <v>#DIV/0!</v>
      </c>
      <c r="S76" s="12" t="e">
        <f t="shared" si="20"/>
        <v>#DIV/0!</v>
      </c>
    </row>
    <row r="77" spans="1:19" x14ac:dyDescent="0.25">
      <c r="A77" s="3">
        <v>1923694</v>
      </c>
      <c r="B77" s="1">
        <v>45614</v>
      </c>
      <c r="C77" s="1" t="s">
        <v>274</v>
      </c>
      <c r="D77" s="4" t="s">
        <v>118</v>
      </c>
      <c r="E77" s="4" t="s">
        <v>35</v>
      </c>
      <c r="F77" s="4" t="s">
        <v>275</v>
      </c>
      <c r="G77" s="5">
        <v>628000</v>
      </c>
      <c r="H77" s="8">
        <v>800000</v>
      </c>
      <c r="I77" s="9">
        <f t="shared" si="14"/>
        <v>0.78500000000000003</v>
      </c>
      <c r="J77" s="16" t="s">
        <v>430</v>
      </c>
      <c r="K77">
        <v>7.5700199999999995E-2</v>
      </c>
      <c r="L77" s="9">
        <f t="shared" si="15"/>
        <v>0.78500000000000003</v>
      </c>
      <c r="M77" s="12" t="str">
        <f t="shared" si="16"/>
        <v>Good</v>
      </c>
      <c r="N77" s="10"/>
      <c r="O77" s="11" t="e">
        <f t="shared" si="17"/>
        <v>#DIV/0!</v>
      </c>
      <c r="P77" s="12" t="str">
        <f t="shared" si="18"/>
        <v>Good</v>
      </c>
      <c r="Q77" s="10"/>
      <c r="R77" s="10" t="e">
        <f t="shared" si="19"/>
        <v>#DIV/0!</v>
      </c>
      <c r="S77" s="12" t="e">
        <f t="shared" si="20"/>
        <v>#DIV/0!</v>
      </c>
    </row>
    <row r="78" spans="1:19" x14ac:dyDescent="0.25">
      <c r="A78" s="3">
        <v>1952350</v>
      </c>
      <c r="B78" s="1">
        <v>45609</v>
      </c>
      <c r="C78" s="1" t="s">
        <v>276</v>
      </c>
      <c r="D78" s="4" t="s">
        <v>277</v>
      </c>
      <c r="E78" s="4" t="s">
        <v>28</v>
      </c>
      <c r="F78" s="4" t="s">
        <v>278</v>
      </c>
      <c r="G78" s="5">
        <v>1850000</v>
      </c>
      <c r="H78" s="8">
        <v>2700000</v>
      </c>
      <c r="I78" s="9">
        <f t="shared" si="14"/>
        <v>0.68518518518518523</v>
      </c>
      <c r="J78" s="16" t="s">
        <v>431</v>
      </c>
      <c r="K78">
        <v>0.12759989999999999</v>
      </c>
      <c r="L78" s="9">
        <f t="shared" si="15"/>
        <v>0.68518518518518523</v>
      </c>
      <c r="M78" s="12" t="str">
        <f t="shared" si="16"/>
        <v>Good</v>
      </c>
      <c r="N78" s="10"/>
      <c r="O78" s="11" t="e">
        <f t="shared" si="17"/>
        <v>#DIV/0!</v>
      </c>
      <c r="P78" s="12" t="str">
        <f t="shared" si="18"/>
        <v>Good</v>
      </c>
      <c r="Q78" s="10"/>
      <c r="R78" s="10" t="e">
        <f t="shared" si="19"/>
        <v>#DIV/0!</v>
      </c>
      <c r="S78" s="12" t="e">
        <f t="shared" si="20"/>
        <v>#DIV/0!</v>
      </c>
    </row>
    <row r="79" spans="1:19" x14ac:dyDescent="0.25">
      <c r="A79" s="2">
        <v>1923692</v>
      </c>
      <c r="B79" s="1">
        <v>45622</v>
      </c>
      <c r="C79" s="1" t="s">
        <v>279</v>
      </c>
      <c r="D79" s="4" t="s">
        <v>280</v>
      </c>
      <c r="E79" s="4" t="s">
        <v>13</v>
      </c>
      <c r="F79" s="4" t="s">
        <v>281</v>
      </c>
      <c r="G79" s="5">
        <v>990000</v>
      </c>
      <c r="H79" s="6">
        <v>1100000</v>
      </c>
      <c r="I79" s="9">
        <f t="shared" si="14"/>
        <v>0.9</v>
      </c>
      <c r="J79" s="16" t="s">
        <v>400</v>
      </c>
      <c r="K79">
        <v>5.8600100000000002E-2</v>
      </c>
      <c r="L79" s="9">
        <f t="shared" si="15"/>
        <v>0.9</v>
      </c>
      <c r="M79" s="12" t="str">
        <f t="shared" si="16"/>
        <v>Good</v>
      </c>
      <c r="N79" s="10"/>
      <c r="O79" s="11" t="e">
        <f t="shared" si="17"/>
        <v>#DIV/0!</v>
      </c>
      <c r="P79" s="12" t="str">
        <f t="shared" si="18"/>
        <v>Good</v>
      </c>
      <c r="Q79" s="10"/>
      <c r="R79" s="10" t="e">
        <f t="shared" si="19"/>
        <v>#DIV/0!</v>
      </c>
      <c r="S79" s="12" t="e">
        <f t="shared" si="20"/>
        <v>#DIV/0!</v>
      </c>
    </row>
    <row r="80" spans="1:19" x14ac:dyDescent="0.25">
      <c r="A80" s="2">
        <v>1923696</v>
      </c>
      <c r="B80" s="1">
        <v>45629</v>
      </c>
      <c r="C80" s="1" t="s">
        <v>282</v>
      </c>
      <c r="D80" s="4" t="s">
        <v>283</v>
      </c>
      <c r="E80" s="4" t="s">
        <v>153</v>
      </c>
      <c r="F80" s="4" t="s">
        <v>284</v>
      </c>
      <c r="G80" s="5">
        <v>140000</v>
      </c>
      <c r="H80" s="8">
        <v>297000</v>
      </c>
      <c r="I80" s="9">
        <f t="shared" si="14"/>
        <v>0.4713804713804714</v>
      </c>
      <c r="J80" s="16" t="s">
        <v>432</v>
      </c>
      <c r="K80">
        <v>8.2000500000000004E-2</v>
      </c>
      <c r="L80" s="9">
        <f t="shared" si="15"/>
        <v>0.4713804713804714</v>
      </c>
      <c r="M80" s="12" t="str">
        <f t="shared" si="16"/>
        <v>Good</v>
      </c>
      <c r="N80" s="10"/>
      <c r="O80" s="11" t="e">
        <f t="shared" si="17"/>
        <v>#DIV/0!</v>
      </c>
      <c r="P80" s="12" t="str">
        <f t="shared" si="18"/>
        <v>Good</v>
      </c>
      <c r="Q80" s="10"/>
      <c r="R80" s="10" t="e">
        <f t="shared" si="19"/>
        <v>#DIV/0!</v>
      </c>
      <c r="S80" s="12" t="e">
        <f t="shared" si="20"/>
        <v>#DIV/0!</v>
      </c>
    </row>
    <row r="81" spans="1:19" x14ac:dyDescent="0.25">
      <c r="A81" s="2">
        <v>1923698</v>
      </c>
      <c r="B81" s="1">
        <v>45618</v>
      </c>
      <c r="C81" s="1" t="s">
        <v>285</v>
      </c>
      <c r="D81" s="4" t="s">
        <v>286</v>
      </c>
      <c r="E81" s="4" t="s">
        <v>153</v>
      </c>
      <c r="F81" s="4" t="s">
        <v>287</v>
      </c>
      <c r="G81" s="5">
        <v>966960</v>
      </c>
      <c r="H81" s="6">
        <v>1645000</v>
      </c>
      <c r="I81" s="9">
        <f t="shared" si="14"/>
        <v>0.58781762917933134</v>
      </c>
      <c r="J81" s="16" t="s">
        <v>433</v>
      </c>
      <c r="K81">
        <v>0.12209979999999999</v>
      </c>
      <c r="L81" s="9">
        <f t="shared" si="15"/>
        <v>0.58781762917933134</v>
      </c>
      <c r="M81" s="12" t="str">
        <f t="shared" si="16"/>
        <v>Good</v>
      </c>
      <c r="N81" s="10"/>
      <c r="O81" s="11" t="e">
        <f t="shared" si="17"/>
        <v>#DIV/0!</v>
      </c>
      <c r="P81" s="12" t="str">
        <f t="shared" si="18"/>
        <v>Good</v>
      </c>
      <c r="Q81" s="10"/>
      <c r="R81" s="10" t="e">
        <f t="shared" si="19"/>
        <v>#DIV/0!</v>
      </c>
      <c r="S81" s="12" t="e">
        <f t="shared" si="20"/>
        <v>#DIV/0!</v>
      </c>
    </row>
    <row r="82" spans="1:19" x14ac:dyDescent="0.25">
      <c r="A82" s="2">
        <v>1923691</v>
      </c>
      <c r="B82" s="1">
        <v>45618</v>
      </c>
      <c r="C82" s="1" t="s">
        <v>288</v>
      </c>
      <c r="D82" s="4" t="s">
        <v>289</v>
      </c>
      <c r="E82" s="4" t="s">
        <v>5</v>
      </c>
      <c r="F82" s="4" t="s">
        <v>290</v>
      </c>
      <c r="G82" s="5">
        <v>250500</v>
      </c>
      <c r="H82" s="6">
        <v>358000</v>
      </c>
      <c r="I82" s="9">
        <f t="shared" si="14"/>
        <v>0.69972067039106145</v>
      </c>
      <c r="J82" s="16" t="s">
        <v>434</v>
      </c>
      <c r="K82">
        <v>7.5799000000000005E-2</v>
      </c>
      <c r="L82" s="9">
        <f t="shared" si="15"/>
        <v>0.69972067039106145</v>
      </c>
      <c r="M82" s="12" t="str">
        <f t="shared" si="16"/>
        <v>Good</v>
      </c>
      <c r="N82" s="10"/>
      <c r="O82" s="11" t="e">
        <f t="shared" si="17"/>
        <v>#DIV/0!</v>
      </c>
      <c r="P82" s="12" t="str">
        <f t="shared" si="18"/>
        <v>Good</v>
      </c>
      <c r="Q82" s="10"/>
      <c r="R82" s="10" t="e">
        <f t="shared" si="19"/>
        <v>#DIV/0!</v>
      </c>
      <c r="S82" s="12" t="e">
        <f t="shared" si="20"/>
        <v>#DIV/0!</v>
      </c>
    </row>
    <row r="83" spans="1:19" x14ac:dyDescent="0.25">
      <c r="A83" s="2">
        <v>1923688</v>
      </c>
      <c r="B83" s="1">
        <v>45622</v>
      </c>
      <c r="C83" s="1" t="s">
        <v>291</v>
      </c>
      <c r="D83" s="4" t="s">
        <v>29</v>
      </c>
      <c r="E83" s="4" t="s">
        <v>8</v>
      </c>
      <c r="F83" s="4" t="s">
        <v>40</v>
      </c>
      <c r="G83" s="5">
        <v>341910</v>
      </c>
      <c r="H83" s="6">
        <v>379900</v>
      </c>
      <c r="I83" s="9">
        <f t="shared" si="14"/>
        <v>0.9</v>
      </c>
      <c r="J83" s="16" t="s">
        <v>392</v>
      </c>
      <c r="K83">
        <v>2.6708699999999998E-2</v>
      </c>
      <c r="L83" s="9">
        <f t="shared" si="15"/>
        <v>0.9</v>
      </c>
      <c r="M83" s="12" t="str">
        <f t="shared" si="16"/>
        <v>Good</v>
      </c>
      <c r="N83" s="10"/>
      <c r="O83" s="11" t="e">
        <f t="shared" si="17"/>
        <v>#DIV/0!</v>
      </c>
      <c r="P83" s="12" t="str">
        <f t="shared" si="18"/>
        <v>Good</v>
      </c>
      <c r="Q83" s="10"/>
      <c r="R83" s="10" t="e">
        <f t="shared" si="19"/>
        <v>#DIV/0!</v>
      </c>
      <c r="S83" s="12" t="e">
        <f t="shared" si="20"/>
        <v>#DIV/0!</v>
      </c>
    </row>
    <row r="84" spans="1:19" x14ac:dyDescent="0.25">
      <c r="A84" s="2">
        <v>1939517</v>
      </c>
      <c r="B84" s="1">
        <v>45639</v>
      </c>
      <c r="C84" s="1" t="s">
        <v>292</v>
      </c>
      <c r="D84" s="4" t="s">
        <v>31</v>
      </c>
      <c r="E84" s="4" t="s">
        <v>27</v>
      </c>
      <c r="F84" s="4" t="s">
        <v>293</v>
      </c>
      <c r="G84" s="5">
        <v>1721250</v>
      </c>
      <c r="H84" s="6">
        <v>2025000</v>
      </c>
      <c r="I84" s="9">
        <f t="shared" si="14"/>
        <v>0.85</v>
      </c>
      <c r="J84" s="16" t="s">
        <v>435</v>
      </c>
      <c r="K84">
        <v>4.65E-2</v>
      </c>
      <c r="L84" s="9">
        <f t="shared" si="15"/>
        <v>0.85</v>
      </c>
      <c r="M84" s="12" t="str">
        <f t="shared" si="16"/>
        <v>Good</v>
      </c>
      <c r="N84" s="10"/>
      <c r="O84" s="11" t="e">
        <f t="shared" si="17"/>
        <v>#DIV/0!</v>
      </c>
      <c r="P84" s="12" t="str">
        <f t="shared" si="18"/>
        <v>Good</v>
      </c>
      <c r="Q84" s="10"/>
      <c r="R84" s="10" t="e">
        <f t="shared" si="19"/>
        <v>#DIV/0!</v>
      </c>
      <c r="S84" s="12" t="e">
        <f t="shared" si="20"/>
        <v>#DIV/0!</v>
      </c>
    </row>
    <row r="85" spans="1:19" x14ac:dyDescent="0.25">
      <c r="A85" s="2">
        <v>1939846</v>
      </c>
      <c r="B85" s="1">
        <v>45643</v>
      </c>
      <c r="C85" s="1" t="s">
        <v>294</v>
      </c>
      <c r="D85" s="4" t="s">
        <v>36</v>
      </c>
      <c r="E85" s="4" t="s">
        <v>5</v>
      </c>
      <c r="F85" s="4" t="s">
        <v>295</v>
      </c>
      <c r="G85" s="5">
        <v>742500</v>
      </c>
      <c r="H85" s="6">
        <v>990000</v>
      </c>
      <c r="I85" s="9">
        <f t="shared" si="14"/>
        <v>0.75</v>
      </c>
      <c r="J85" s="16" t="s">
        <v>436</v>
      </c>
      <c r="K85">
        <v>5.1200099999999998E-2</v>
      </c>
      <c r="L85" s="9">
        <f t="shared" si="15"/>
        <v>0.75</v>
      </c>
      <c r="M85" s="12" t="str">
        <f t="shared" si="16"/>
        <v>Good</v>
      </c>
      <c r="N85" s="10"/>
      <c r="O85" s="11" t="e">
        <f t="shared" si="17"/>
        <v>#DIV/0!</v>
      </c>
      <c r="P85" s="12" t="str">
        <f t="shared" si="18"/>
        <v>Good</v>
      </c>
      <c r="Q85" s="10"/>
      <c r="R85" s="10" t="e">
        <f t="shared" si="19"/>
        <v>#DIV/0!</v>
      </c>
      <c r="S85" s="12" t="e">
        <f t="shared" si="20"/>
        <v>#DIV/0!</v>
      </c>
    </row>
    <row r="86" spans="1:19" x14ac:dyDescent="0.25">
      <c r="A86" s="2">
        <v>1959617</v>
      </c>
      <c r="B86" s="1">
        <v>45649</v>
      </c>
      <c r="C86" s="1" t="s">
        <v>296</v>
      </c>
      <c r="D86" s="4" t="s">
        <v>297</v>
      </c>
      <c r="E86" s="4" t="s">
        <v>13</v>
      </c>
      <c r="F86" s="4" t="s">
        <v>298</v>
      </c>
      <c r="G86" s="5">
        <v>121000</v>
      </c>
      <c r="H86" s="6">
        <v>359000</v>
      </c>
      <c r="I86" s="9">
        <f t="shared" si="14"/>
        <v>0.3370473537604457</v>
      </c>
      <c r="J86" s="16" t="s">
        <v>437</v>
      </c>
      <c r="K86">
        <v>9.2000299999999993E-2</v>
      </c>
      <c r="L86" s="9">
        <f t="shared" si="15"/>
        <v>0.3370473537604457</v>
      </c>
      <c r="M86" s="12" t="str">
        <f t="shared" si="16"/>
        <v>Good</v>
      </c>
      <c r="N86" s="10"/>
      <c r="O86" s="11" t="e">
        <f t="shared" si="17"/>
        <v>#DIV/0!</v>
      </c>
      <c r="P86" s="12" t="str">
        <f t="shared" si="18"/>
        <v>Good</v>
      </c>
      <c r="Q86" s="10"/>
      <c r="R86" s="10" t="e">
        <f t="shared" si="19"/>
        <v>#DIV/0!</v>
      </c>
      <c r="S86" s="12" t="e">
        <f t="shared" si="20"/>
        <v>#DIV/0!</v>
      </c>
    </row>
    <row r="87" spans="1:19" x14ac:dyDescent="0.25">
      <c r="A87" s="2">
        <v>1988128</v>
      </c>
      <c r="B87" s="1">
        <v>45685</v>
      </c>
      <c r="C87" s="1" t="s">
        <v>299</v>
      </c>
      <c r="D87" s="4" t="s">
        <v>300</v>
      </c>
      <c r="E87" s="4" t="s">
        <v>27</v>
      </c>
      <c r="F87" s="4" t="s">
        <v>301</v>
      </c>
      <c r="G87" s="5">
        <v>679915</v>
      </c>
      <c r="H87" s="6">
        <v>799900</v>
      </c>
      <c r="I87" s="9">
        <f t="shared" si="14"/>
        <v>0.85</v>
      </c>
      <c r="J87" s="16" t="s">
        <v>438</v>
      </c>
      <c r="K87">
        <v>6.7199700000000001E-2</v>
      </c>
      <c r="L87" s="9">
        <f t="shared" si="15"/>
        <v>0.85</v>
      </c>
      <c r="M87" s="12" t="str">
        <f t="shared" si="16"/>
        <v>Good</v>
      </c>
      <c r="N87" s="10"/>
      <c r="O87" s="11" t="e">
        <f t="shared" si="17"/>
        <v>#DIV/0!</v>
      </c>
      <c r="P87" s="12" t="str">
        <f t="shared" si="18"/>
        <v>Good</v>
      </c>
      <c r="Q87" s="10"/>
      <c r="R87" s="10" t="e">
        <f t="shared" si="19"/>
        <v>#DIV/0!</v>
      </c>
      <c r="S87" s="12" t="e">
        <f t="shared" si="20"/>
        <v>#DIV/0!</v>
      </c>
    </row>
    <row r="88" spans="1:19" x14ac:dyDescent="0.25">
      <c r="A88" s="2">
        <v>1973087</v>
      </c>
      <c r="B88" s="1">
        <v>45678</v>
      </c>
      <c r="C88" s="1" t="s">
        <v>302</v>
      </c>
      <c r="D88" s="4" t="s">
        <v>303</v>
      </c>
      <c r="E88" s="4" t="s">
        <v>8</v>
      </c>
      <c r="F88" s="4" t="s">
        <v>304</v>
      </c>
      <c r="G88" s="5">
        <v>714150</v>
      </c>
      <c r="H88" s="6">
        <v>793500</v>
      </c>
      <c r="I88" s="9">
        <f t="shared" si="14"/>
        <v>0.9</v>
      </c>
      <c r="J88" s="16" t="s">
        <v>439</v>
      </c>
      <c r="K88">
        <v>2.81006E-2</v>
      </c>
      <c r="L88" s="9">
        <f t="shared" si="15"/>
        <v>0.9</v>
      </c>
      <c r="M88" s="12" t="str">
        <f t="shared" si="16"/>
        <v>Good</v>
      </c>
      <c r="N88" s="10"/>
      <c r="O88" s="11" t="e">
        <f t="shared" si="17"/>
        <v>#DIV/0!</v>
      </c>
      <c r="P88" s="12" t="str">
        <f t="shared" si="18"/>
        <v>Good</v>
      </c>
      <c r="Q88" s="10"/>
      <c r="R88" s="10" t="e">
        <f t="shared" si="19"/>
        <v>#DIV/0!</v>
      </c>
      <c r="S88" s="12" t="e">
        <f t="shared" si="20"/>
        <v>#DIV/0!</v>
      </c>
    </row>
    <row r="89" spans="1:19" x14ac:dyDescent="0.25">
      <c r="A89" s="2">
        <v>1979033</v>
      </c>
      <c r="B89" s="1">
        <v>45681</v>
      </c>
      <c r="C89" s="1" t="s">
        <v>305</v>
      </c>
      <c r="D89" s="4" t="s">
        <v>306</v>
      </c>
      <c r="E89" s="4" t="s">
        <v>153</v>
      </c>
      <c r="F89" s="4" t="s">
        <v>307</v>
      </c>
      <c r="G89" s="5">
        <v>840000</v>
      </c>
      <c r="H89" s="6">
        <v>1050000</v>
      </c>
      <c r="I89" s="9">
        <f t="shared" si="14"/>
        <v>0.8</v>
      </c>
      <c r="J89" s="16" t="s">
        <v>413</v>
      </c>
      <c r="K89">
        <v>0.1606001</v>
      </c>
      <c r="L89" s="9">
        <f t="shared" si="15"/>
        <v>0.8</v>
      </c>
      <c r="M89" s="12" t="str">
        <f t="shared" si="16"/>
        <v>Good</v>
      </c>
      <c r="N89" s="10"/>
      <c r="O89" s="11" t="e">
        <f t="shared" si="17"/>
        <v>#DIV/0!</v>
      </c>
      <c r="P89" s="12" t="str">
        <f t="shared" si="18"/>
        <v>Good</v>
      </c>
      <c r="Q89" s="10"/>
      <c r="R89" s="10" t="e">
        <f t="shared" si="19"/>
        <v>#DIV/0!</v>
      </c>
      <c r="S89" s="12" t="e">
        <f t="shared" si="20"/>
        <v>#DIV/0!</v>
      </c>
    </row>
    <row r="90" spans="1:19" x14ac:dyDescent="0.25">
      <c r="A90" s="2">
        <v>1979032</v>
      </c>
      <c r="B90" s="1">
        <v>45685</v>
      </c>
      <c r="C90" s="1" t="s">
        <v>308</v>
      </c>
      <c r="D90" s="4" t="s">
        <v>309</v>
      </c>
      <c r="E90" s="4" t="s">
        <v>13</v>
      </c>
      <c r="F90" s="4" t="s">
        <v>310</v>
      </c>
      <c r="G90" s="5">
        <v>504000</v>
      </c>
      <c r="H90" s="6">
        <v>630000</v>
      </c>
      <c r="I90" s="9">
        <f t="shared" si="14"/>
        <v>0.8</v>
      </c>
      <c r="J90" s="16" t="s">
        <v>440</v>
      </c>
      <c r="K90">
        <v>3.1300000000000001E-2</v>
      </c>
      <c r="L90" s="9">
        <f t="shared" si="15"/>
        <v>0.8</v>
      </c>
      <c r="M90" s="12" t="str">
        <f t="shared" si="16"/>
        <v>Good</v>
      </c>
      <c r="N90" s="10"/>
      <c r="O90" s="11" t="e">
        <f t="shared" si="17"/>
        <v>#DIV/0!</v>
      </c>
      <c r="P90" s="12" t="str">
        <f t="shared" si="18"/>
        <v>Good</v>
      </c>
      <c r="Q90" s="10"/>
      <c r="R90" s="10" t="e">
        <f t="shared" si="19"/>
        <v>#DIV/0!</v>
      </c>
      <c r="S90" s="12" t="e">
        <f t="shared" si="20"/>
        <v>#DIV/0!</v>
      </c>
    </row>
    <row r="91" spans="1:19" x14ac:dyDescent="0.25">
      <c r="A91" s="2">
        <v>1995586</v>
      </c>
      <c r="B91" s="1">
        <v>45660</v>
      </c>
      <c r="C91" s="1" t="s">
        <v>311</v>
      </c>
      <c r="D91" s="4" t="s">
        <v>245</v>
      </c>
      <c r="E91" s="4" t="s">
        <v>28</v>
      </c>
      <c r="F91" s="4" t="s">
        <v>312</v>
      </c>
      <c r="G91" s="5">
        <v>333460</v>
      </c>
      <c r="H91" s="6">
        <v>425000</v>
      </c>
      <c r="I91" s="9">
        <f t="shared" si="14"/>
        <v>0.78461176470588234</v>
      </c>
      <c r="J91" s="16" t="s">
        <v>408</v>
      </c>
      <c r="K91">
        <v>5.1499499999999997E-2</v>
      </c>
      <c r="L91" s="9">
        <f t="shared" si="15"/>
        <v>0.78461176470588234</v>
      </c>
      <c r="M91" s="12" t="str">
        <f t="shared" si="16"/>
        <v>Good</v>
      </c>
      <c r="N91" s="10"/>
      <c r="O91" s="11" t="e">
        <f t="shared" si="17"/>
        <v>#DIV/0!</v>
      </c>
      <c r="P91" s="12" t="str">
        <f t="shared" si="18"/>
        <v>Good</v>
      </c>
      <c r="Q91" s="10"/>
      <c r="R91" s="10" t="e">
        <f t="shared" si="19"/>
        <v>#DIV/0!</v>
      </c>
      <c r="S91" s="12" t="e">
        <f t="shared" si="20"/>
        <v>#DIV/0!</v>
      </c>
    </row>
    <row r="92" spans="1:19" x14ac:dyDescent="0.25">
      <c r="A92" s="2">
        <v>1973090</v>
      </c>
      <c r="B92" s="1">
        <v>45656</v>
      </c>
      <c r="C92" s="1" t="s">
        <v>313</v>
      </c>
      <c r="D92" s="4" t="s">
        <v>314</v>
      </c>
      <c r="E92" s="4" t="s">
        <v>13</v>
      </c>
      <c r="F92" s="4" t="s">
        <v>315</v>
      </c>
      <c r="G92" s="5">
        <v>300000</v>
      </c>
      <c r="H92" s="6">
        <v>400000</v>
      </c>
      <c r="I92" s="9">
        <f t="shared" si="14"/>
        <v>0.75</v>
      </c>
      <c r="J92" s="16" t="s">
        <v>441</v>
      </c>
      <c r="K92">
        <v>2.5699400000000001E-2</v>
      </c>
      <c r="L92" s="9">
        <f t="shared" si="15"/>
        <v>0.75</v>
      </c>
      <c r="M92" s="12" t="str">
        <f t="shared" si="16"/>
        <v>Good</v>
      </c>
      <c r="N92" s="10"/>
      <c r="O92" s="11" t="e">
        <f t="shared" si="17"/>
        <v>#DIV/0!</v>
      </c>
      <c r="P92" s="12" t="str">
        <f t="shared" si="18"/>
        <v>Good</v>
      </c>
      <c r="Q92" s="10"/>
      <c r="R92" s="10" t="e">
        <f t="shared" si="19"/>
        <v>#DIV/0!</v>
      </c>
      <c r="S92" s="12" t="e">
        <f t="shared" si="20"/>
        <v>#DIV/0!</v>
      </c>
    </row>
    <row r="93" spans="1:19" x14ac:dyDescent="0.25">
      <c r="A93" s="2">
        <v>1955494</v>
      </c>
      <c r="B93" s="1">
        <v>45656</v>
      </c>
      <c r="C93" s="1" t="s">
        <v>316</v>
      </c>
      <c r="D93" s="4" t="s">
        <v>317</v>
      </c>
      <c r="E93" s="4" t="s">
        <v>13</v>
      </c>
      <c r="F93" s="4" t="s">
        <v>318</v>
      </c>
      <c r="G93" s="5">
        <v>547500</v>
      </c>
      <c r="H93" s="6">
        <v>730000</v>
      </c>
      <c r="I93" s="9">
        <f t="shared" si="14"/>
        <v>0.75</v>
      </c>
      <c r="J93" s="16" t="s">
        <v>442</v>
      </c>
      <c r="K93">
        <v>0.16909979999999999</v>
      </c>
      <c r="L93" s="9">
        <f t="shared" si="15"/>
        <v>0.75</v>
      </c>
      <c r="M93" s="12" t="str">
        <f t="shared" si="16"/>
        <v>Good</v>
      </c>
      <c r="N93" s="10"/>
      <c r="O93" s="11" t="e">
        <f t="shared" si="17"/>
        <v>#DIV/0!</v>
      </c>
      <c r="P93" s="12" t="str">
        <f t="shared" si="18"/>
        <v>Good</v>
      </c>
      <c r="Q93" s="10"/>
      <c r="R93" s="10" t="e">
        <f t="shared" si="19"/>
        <v>#DIV/0!</v>
      </c>
      <c r="S93" s="12" t="e">
        <f t="shared" si="20"/>
        <v>#DIV/0!</v>
      </c>
    </row>
    <row r="94" spans="1:19" x14ac:dyDescent="0.25">
      <c r="A94" s="2">
        <v>1973086</v>
      </c>
      <c r="B94" s="1">
        <v>45673</v>
      </c>
      <c r="C94" s="1" t="s">
        <v>319</v>
      </c>
      <c r="D94" s="4" t="s">
        <v>320</v>
      </c>
      <c r="E94" s="4" t="s">
        <v>5</v>
      </c>
      <c r="F94" s="4" t="s">
        <v>321</v>
      </c>
      <c r="G94" s="5">
        <v>764860</v>
      </c>
      <c r="H94" s="6">
        <v>1070000</v>
      </c>
      <c r="I94" s="9">
        <f t="shared" si="14"/>
        <v>0.7148224299065421</v>
      </c>
      <c r="J94" s="16" t="s">
        <v>443</v>
      </c>
      <c r="K94">
        <v>0.26139950000000001</v>
      </c>
      <c r="L94" s="9">
        <f t="shared" si="15"/>
        <v>0.7148224299065421</v>
      </c>
      <c r="M94" s="12" t="str">
        <f t="shared" si="16"/>
        <v>Good</v>
      </c>
      <c r="N94" s="10"/>
      <c r="O94" s="11" t="e">
        <f t="shared" si="17"/>
        <v>#DIV/0!</v>
      </c>
      <c r="P94" s="12" t="str">
        <f t="shared" si="18"/>
        <v>Good</v>
      </c>
      <c r="Q94" s="10"/>
      <c r="R94" s="10" t="e">
        <f t="shared" si="19"/>
        <v>#DIV/0!</v>
      </c>
      <c r="S94" s="12" t="e">
        <f t="shared" si="20"/>
        <v>#DIV/0!</v>
      </c>
    </row>
    <row r="95" spans="1:19" x14ac:dyDescent="0.25">
      <c r="A95" s="2">
        <v>1880398</v>
      </c>
      <c r="B95" s="1">
        <v>45498</v>
      </c>
      <c r="C95" s="1" t="s">
        <v>57</v>
      </c>
      <c r="D95" s="4" t="s">
        <v>38</v>
      </c>
      <c r="E95" s="4" t="s">
        <v>21</v>
      </c>
      <c r="F95" s="4" t="s">
        <v>322</v>
      </c>
      <c r="G95" s="5">
        <v>60000</v>
      </c>
      <c r="H95" s="6">
        <v>75000</v>
      </c>
      <c r="I95" s="9">
        <f t="shared" si="14"/>
        <v>0.8</v>
      </c>
      <c r="J95" s="16" t="s">
        <v>444</v>
      </c>
      <c r="K95">
        <v>7.7931399999999998E-2</v>
      </c>
      <c r="L95" s="9">
        <f t="shared" si="15"/>
        <v>0.8</v>
      </c>
      <c r="M95" s="12" t="str">
        <f t="shared" si="16"/>
        <v>Good</v>
      </c>
      <c r="N95" s="10"/>
      <c r="O95" s="11" t="e">
        <f t="shared" si="17"/>
        <v>#DIV/0!</v>
      </c>
      <c r="P95" s="12" t="str">
        <f t="shared" si="18"/>
        <v>Good</v>
      </c>
      <c r="Q95" s="10"/>
      <c r="R95" s="10" t="e">
        <f t="shared" si="19"/>
        <v>#DIV/0!</v>
      </c>
      <c r="S95" s="12" t="e">
        <f t="shared" si="20"/>
        <v>#DIV/0!</v>
      </c>
    </row>
    <row r="96" spans="1:19" x14ac:dyDescent="0.25">
      <c r="A96" s="2">
        <v>1973169</v>
      </c>
      <c r="B96" s="1">
        <v>45608</v>
      </c>
      <c r="C96" s="1" t="s">
        <v>54</v>
      </c>
      <c r="D96" s="4" t="s">
        <v>39</v>
      </c>
      <c r="E96" s="4" t="s">
        <v>13</v>
      </c>
      <c r="F96" s="4" t="s">
        <v>323</v>
      </c>
      <c r="G96" s="5">
        <v>100000</v>
      </c>
      <c r="H96" s="6">
        <v>150000</v>
      </c>
      <c r="I96" s="9">
        <f t="shared" si="14"/>
        <v>0.66666666666666663</v>
      </c>
      <c r="J96" s="16" t="s">
        <v>445</v>
      </c>
      <c r="K96">
        <v>9.9198999999999996E-2</v>
      </c>
      <c r="L96" s="9">
        <f t="shared" si="15"/>
        <v>0.66666666666666663</v>
      </c>
      <c r="M96" s="12" t="str">
        <f t="shared" si="16"/>
        <v>Good</v>
      </c>
      <c r="N96" s="10"/>
      <c r="O96" s="11" t="e">
        <f t="shared" si="17"/>
        <v>#DIV/0!</v>
      </c>
      <c r="P96" s="12" t="str">
        <f t="shared" si="18"/>
        <v>Good</v>
      </c>
      <c r="Q96" s="10"/>
      <c r="R96" s="10" t="e">
        <f t="shared" si="19"/>
        <v>#DIV/0!</v>
      </c>
      <c r="S96" s="12" t="e">
        <f t="shared" si="20"/>
        <v>#DIV/0!</v>
      </c>
    </row>
    <row r="97" spans="1:19" x14ac:dyDescent="0.25">
      <c r="A97" s="2">
        <v>1973143</v>
      </c>
      <c r="B97" s="1">
        <v>45621</v>
      </c>
      <c r="C97" s="1" t="s">
        <v>324</v>
      </c>
      <c r="D97" s="4" t="s">
        <v>325</v>
      </c>
      <c r="E97" s="4" t="s">
        <v>10</v>
      </c>
      <c r="F97" s="4" t="s">
        <v>326</v>
      </c>
      <c r="G97" s="5">
        <v>175000</v>
      </c>
      <c r="H97" s="6">
        <v>243000</v>
      </c>
      <c r="I97" s="9">
        <f t="shared" si="14"/>
        <v>0.72016460905349799</v>
      </c>
      <c r="J97" s="16" t="s">
        <v>446</v>
      </c>
      <c r="K97">
        <v>0.17720259999999999</v>
      </c>
      <c r="L97" s="9">
        <f t="shared" si="15"/>
        <v>0.72016460905349799</v>
      </c>
      <c r="M97" s="12" t="str">
        <f t="shared" si="16"/>
        <v>Good</v>
      </c>
      <c r="N97" s="10"/>
      <c r="O97" s="11" t="e">
        <f t="shared" si="17"/>
        <v>#DIV/0!</v>
      </c>
      <c r="P97" s="12" t="str">
        <f t="shared" si="18"/>
        <v>Good</v>
      </c>
      <c r="Q97" s="10"/>
      <c r="R97" s="10" t="e">
        <f t="shared" si="19"/>
        <v>#DIV/0!</v>
      </c>
      <c r="S97" s="12" t="e">
        <f t="shared" si="20"/>
        <v>#DIV/0!</v>
      </c>
    </row>
    <row r="98" spans="1:19" x14ac:dyDescent="0.25">
      <c r="A98" s="2">
        <v>1903386</v>
      </c>
      <c r="B98" s="1">
        <v>45548</v>
      </c>
      <c r="C98" s="1" t="s">
        <v>327</v>
      </c>
      <c r="D98" s="4" t="s">
        <v>328</v>
      </c>
      <c r="E98" s="4" t="s">
        <v>11</v>
      </c>
      <c r="F98" s="4" t="s">
        <v>329</v>
      </c>
      <c r="G98" s="5">
        <v>116000</v>
      </c>
      <c r="H98" s="6">
        <v>156000</v>
      </c>
      <c r="I98" s="9">
        <f t="shared" si="14"/>
        <v>0.74358974358974361</v>
      </c>
      <c r="J98" s="16" t="s">
        <v>447</v>
      </c>
      <c r="K98">
        <v>0.1596022</v>
      </c>
      <c r="L98" s="9">
        <f t="shared" si="15"/>
        <v>0.74358974358974361</v>
      </c>
      <c r="M98" s="12" t="str">
        <f t="shared" si="16"/>
        <v>Good</v>
      </c>
      <c r="N98" s="10"/>
      <c r="O98" s="11" t="e">
        <f t="shared" si="17"/>
        <v>#DIV/0!</v>
      </c>
      <c r="P98" s="12" t="str">
        <f t="shared" si="18"/>
        <v>Good</v>
      </c>
      <c r="Q98" s="10"/>
      <c r="R98" s="10" t="e">
        <f t="shared" si="19"/>
        <v>#DIV/0!</v>
      </c>
      <c r="S98" s="12" t="e">
        <f t="shared" si="20"/>
        <v>#DIV/0!</v>
      </c>
    </row>
    <row r="99" spans="1:19" x14ac:dyDescent="0.25">
      <c r="A99" s="2">
        <v>1975366</v>
      </c>
      <c r="B99" s="1">
        <v>45663</v>
      </c>
      <c r="C99" s="1" t="s">
        <v>330</v>
      </c>
      <c r="D99" s="4" t="s">
        <v>331</v>
      </c>
      <c r="E99" s="4" t="s">
        <v>28</v>
      </c>
      <c r="F99" s="4" t="s">
        <v>332</v>
      </c>
      <c r="G99" s="5">
        <v>1500000</v>
      </c>
      <c r="H99" s="6">
        <v>1695400</v>
      </c>
      <c r="I99" s="9">
        <f t="shared" si="14"/>
        <v>0.88474696236876249</v>
      </c>
      <c r="J99" s="16" t="s">
        <v>448</v>
      </c>
      <c r="K99">
        <v>4.9099999999999998E-2</v>
      </c>
      <c r="L99" s="9">
        <f t="shared" si="15"/>
        <v>0.88474696236876249</v>
      </c>
      <c r="M99" s="12" t="str">
        <f t="shared" si="16"/>
        <v>Good</v>
      </c>
      <c r="N99" s="10"/>
      <c r="O99" s="11" t="e">
        <f t="shared" si="17"/>
        <v>#DIV/0!</v>
      </c>
      <c r="P99" s="12" t="str">
        <f t="shared" si="18"/>
        <v>Good</v>
      </c>
      <c r="Q99" s="10"/>
      <c r="R99" s="10" t="e">
        <f t="shared" si="19"/>
        <v>#DIV/0!</v>
      </c>
      <c r="S99" s="12" t="e">
        <f t="shared" si="20"/>
        <v>#DIV/0!</v>
      </c>
    </row>
    <row r="100" spans="1:19" x14ac:dyDescent="0.25">
      <c r="A100" s="2">
        <v>1901194</v>
      </c>
      <c r="B100" s="1">
        <v>45561</v>
      </c>
      <c r="C100" s="1" t="s">
        <v>333</v>
      </c>
      <c r="D100" s="4" t="s">
        <v>334</v>
      </c>
      <c r="E100" s="4" t="s">
        <v>13</v>
      </c>
      <c r="F100" s="4" t="s">
        <v>335</v>
      </c>
      <c r="G100" s="5">
        <v>841500</v>
      </c>
      <c r="H100" s="6">
        <v>990000</v>
      </c>
      <c r="I100" s="9">
        <f t="shared" si="14"/>
        <v>0.85</v>
      </c>
      <c r="J100" s="16" t="s">
        <v>436</v>
      </c>
      <c r="K100">
        <v>0.10949979999999999</v>
      </c>
      <c r="L100" s="9">
        <f t="shared" si="15"/>
        <v>0.85</v>
      </c>
      <c r="M100" s="12" t="str">
        <f t="shared" si="16"/>
        <v>Good</v>
      </c>
      <c r="N100" s="10"/>
      <c r="O100" s="11" t="e">
        <f t="shared" si="17"/>
        <v>#DIV/0!</v>
      </c>
      <c r="P100" s="12" t="str">
        <f t="shared" si="18"/>
        <v>Good</v>
      </c>
      <c r="Q100" s="10"/>
      <c r="R100" s="10" t="e">
        <f t="shared" si="19"/>
        <v>#DIV/0!</v>
      </c>
      <c r="S100" s="12" t="e">
        <f t="shared" si="20"/>
        <v>#DIV/0!</v>
      </c>
    </row>
    <row r="101" spans="1:19" x14ac:dyDescent="0.25">
      <c r="A101" s="2">
        <v>1993834</v>
      </c>
      <c r="B101" s="1">
        <v>45678</v>
      </c>
      <c r="C101" s="1" t="s">
        <v>336</v>
      </c>
      <c r="D101" s="4" t="s">
        <v>337</v>
      </c>
      <c r="E101" s="4" t="s">
        <v>26</v>
      </c>
      <c r="F101" s="4" t="s">
        <v>338</v>
      </c>
      <c r="G101" s="5">
        <v>461250</v>
      </c>
      <c r="H101" s="6">
        <v>615000</v>
      </c>
      <c r="I101" s="9">
        <f t="shared" si="14"/>
        <v>0.75</v>
      </c>
      <c r="J101" s="16" t="s">
        <v>449</v>
      </c>
      <c r="K101">
        <v>6.8199700000000002E-2</v>
      </c>
      <c r="L101" s="9">
        <f t="shared" si="15"/>
        <v>0.75</v>
      </c>
      <c r="M101" s="12" t="str">
        <f t="shared" si="16"/>
        <v>Good</v>
      </c>
      <c r="N101" s="10"/>
      <c r="O101" s="11" t="e">
        <f t="shared" si="17"/>
        <v>#DIV/0!</v>
      </c>
      <c r="P101" s="12" t="str">
        <f t="shared" si="18"/>
        <v>Good</v>
      </c>
      <c r="Q101" s="10"/>
      <c r="R101" s="10" t="e">
        <f t="shared" si="19"/>
        <v>#DIV/0!</v>
      </c>
      <c r="S101" s="12" t="e">
        <f t="shared" si="20"/>
        <v>#DIV/0!</v>
      </c>
    </row>
    <row r="102" spans="1:19" x14ac:dyDescent="0.25">
      <c r="A102" s="2">
        <v>1993833</v>
      </c>
      <c r="B102" s="1">
        <v>45671</v>
      </c>
      <c r="C102" s="1" t="s">
        <v>339</v>
      </c>
      <c r="D102" s="4" t="s">
        <v>340</v>
      </c>
      <c r="E102" s="4" t="s">
        <v>13</v>
      </c>
      <c r="F102" s="4" t="s">
        <v>341</v>
      </c>
      <c r="G102" s="5">
        <v>459000</v>
      </c>
      <c r="H102" s="6">
        <v>959000</v>
      </c>
      <c r="I102" s="9">
        <f t="shared" si="14"/>
        <v>0.47862356621480712</v>
      </c>
      <c r="J102" s="16" t="s">
        <v>450</v>
      </c>
      <c r="K102">
        <v>6.12001E-2</v>
      </c>
      <c r="L102" s="9">
        <f t="shared" si="15"/>
        <v>0.47862356621480712</v>
      </c>
      <c r="M102" s="12" t="str">
        <f t="shared" si="16"/>
        <v>Good</v>
      </c>
      <c r="N102" s="10"/>
      <c r="O102" s="11" t="e">
        <f t="shared" si="17"/>
        <v>#DIV/0!</v>
      </c>
      <c r="P102" s="12" t="str">
        <f t="shared" si="18"/>
        <v>Good</v>
      </c>
      <c r="Q102" s="10"/>
      <c r="R102" s="10" t="e">
        <f t="shared" si="19"/>
        <v>#DIV/0!</v>
      </c>
      <c r="S102" s="12" t="e">
        <f t="shared" si="20"/>
        <v>#DIV/0!</v>
      </c>
    </row>
    <row r="103" spans="1:19" x14ac:dyDescent="0.25">
      <c r="A103" s="2">
        <v>1993831</v>
      </c>
      <c r="B103" s="1">
        <v>45672</v>
      </c>
      <c r="C103" s="1" t="s">
        <v>342</v>
      </c>
      <c r="D103" s="4" t="s">
        <v>343</v>
      </c>
      <c r="E103" s="4" t="s">
        <v>73</v>
      </c>
      <c r="F103" s="4" t="s">
        <v>344</v>
      </c>
      <c r="G103" s="5">
        <v>330000</v>
      </c>
      <c r="H103" s="6">
        <v>440000</v>
      </c>
      <c r="I103" s="9">
        <f t="shared" si="14"/>
        <v>0.75</v>
      </c>
      <c r="J103" s="16" t="s">
        <v>451</v>
      </c>
      <c r="K103">
        <v>8.7299199999999993E-2</v>
      </c>
      <c r="L103" s="9">
        <f t="shared" si="15"/>
        <v>0.75</v>
      </c>
      <c r="M103" s="12" t="str">
        <f t="shared" si="16"/>
        <v>Good</v>
      </c>
      <c r="N103" s="10"/>
      <c r="O103" s="11" t="e">
        <f t="shared" si="17"/>
        <v>#DIV/0!</v>
      </c>
      <c r="P103" s="12" t="str">
        <f t="shared" si="18"/>
        <v>Good</v>
      </c>
      <c r="Q103" s="10"/>
      <c r="R103" s="10" t="e">
        <f t="shared" si="19"/>
        <v>#DIV/0!</v>
      </c>
      <c r="S103" s="12" t="e">
        <f t="shared" si="20"/>
        <v>#DIV/0!</v>
      </c>
    </row>
    <row r="104" spans="1:19" x14ac:dyDescent="0.25">
      <c r="A104" s="2">
        <v>1993829</v>
      </c>
      <c r="B104" s="1">
        <v>45660</v>
      </c>
      <c r="C104" s="1" t="s">
        <v>345</v>
      </c>
      <c r="D104" s="4" t="s">
        <v>346</v>
      </c>
      <c r="E104" s="4" t="s">
        <v>28</v>
      </c>
      <c r="F104" s="4" t="s">
        <v>347</v>
      </c>
      <c r="G104" s="5">
        <v>260000</v>
      </c>
      <c r="H104" s="6">
        <v>960000</v>
      </c>
      <c r="I104" s="9">
        <f t="shared" si="14"/>
        <v>0.27083333333333331</v>
      </c>
      <c r="J104" s="16" t="s">
        <v>452</v>
      </c>
      <c r="K104">
        <v>0.14910039999999999</v>
      </c>
      <c r="L104" s="9">
        <f t="shared" si="15"/>
        <v>0.27083333333333331</v>
      </c>
      <c r="M104" s="12" t="str">
        <f t="shared" si="16"/>
        <v>Good</v>
      </c>
      <c r="N104" s="10"/>
      <c r="O104" s="11" t="e">
        <f t="shared" si="17"/>
        <v>#DIV/0!</v>
      </c>
      <c r="P104" s="12" t="str">
        <f t="shared" si="18"/>
        <v>Good</v>
      </c>
      <c r="Q104" s="10"/>
      <c r="R104" s="10" t="e">
        <f t="shared" si="19"/>
        <v>#DIV/0!</v>
      </c>
      <c r="S104" s="12" t="e">
        <f t="shared" si="20"/>
        <v>#DIV/0!</v>
      </c>
    </row>
    <row r="105" spans="1:19" x14ac:dyDescent="0.25">
      <c r="A105" s="2">
        <v>1993824</v>
      </c>
      <c r="B105" s="1">
        <v>45674</v>
      </c>
      <c r="C105" s="1" t="s">
        <v>348</v>
      </c>
      <c r="D105" s="4" t="s">
        <v>349</v>
      </c>
      <c r="E105" s="4" t="s">
        <v>28</v>
      </c>
      <c r="F105" s="4" t="s">
        <v>350</v>
      </c>
      <c r="G105" s="5">
        <v>656250</v>
      </c>
      <c r="H105" s="6">
        <v>875000</v>
      </c>
      <c r="I105" s="9">
        <f t="shared" si="14"/>
        <v>0.75</v>
      </c>
      <c r="J105" s="16" t="s">
        <v>453</v>
      </c>
      <c r="L105" s="9">
        <f t="shared" si="15"/>
        <v>0.75</v>
      </c>
      <c r="M105" s="12" t="str">
        <f t="shared" si="16"/>
        <v>Good</v>
      </c>
      <c r="N105" s="10"/>
      <c r="O105" s="11" t="e">
        <f t="shared" si="17"/>
        <v>#DIV/0!</v>
      </c>
      <c r="P105" s="12" t="str">
        <f t="shared" si="18"/>
        <v>Good</v>
      </c>
      <c r="Q105" s="10"/>
      <c r="R105" s="10" t="e">
        <f t="shared" si="19"/>
        <v>#DIV/0!</v>
      </c>
      <c r="S105" s="12" t="e">
        <f t="shared" si="20"/>
        <v>#DIV/0!</v>
      </c>
    </row>
    <row r="106" spans="1:19" x14ac:dyDescent="0.25">
      <c r="A106" s="2">
        <v>1993825</v>
      </c>
      <c r="B106" s="1">
        <v>45663</v>
      </c>
      <c r="C106" s="1" t="s">
        <v>351</v>
      </c>
      <c r="D106" s="4" t="s">
        <v>352</v>
      </c>
      <c r="E106" s="4" t="s">
        <v>13</v>
      </c>
      <c r="F106" s="4" t="s">
        <v>353</v>
      </c>
      <c r="G106" s="5">
        <v>568000</v>
      </c>
      <c r="H106" s="6">
        <v>710000</v>
      </c>
      <c r="I106" s="9">
        <f t="shared" si="14"/>
        <v>0.8</v>
      </c>
      <c r="J106" s="16" t="s">
        <v>454</v>
      </c>
      <c r="K106">
        <v>5.31002E-2</v>
      </c>
      <c r="L106" s="9">
        <f t="shared" si="15"/>
        <v>0.8</v>
      </c>
      <c r="M106" s="12" t="str">
        <f t="shared" si="16"/>
        <v>Good</v>
      </c>
      <c r="N106" s="10"/>
      <c r="O106" s="11" t="e">
        <f t="shared" si="17"/>
        <v>#DIV/0!</v>
      </c>
      <c r="P106" s="12" t="str">
        <f t="shared" si="18"/>
        <v>Good</v>
      </c>
      <c r="Q106" s="10"/>
      <c r="R106" s="10" t="e">
        <f t="shared" si="19"/>
        <v>#DIV/0!</v>
      </c>
      <c r="S106" s="12" t="e">
        <f t="shared" si="20"/>
        <v>#DIV/0!</v>
      </c>
    </row>
    <row r="107" spans="1:19" x14ac:dyDescent="0.25">
      <c r="A107" s="2">
        <v>1889575</v>
      </c>
      <c r="B107" s="1">
        <v>45488</v>
      </c>
      <c r="C107" s="1" t="s">
        <v>354</v>
      </c>
      <c r="D107" s="4" t="s">
        <v>355</v>
      </c>
      <c r="E107" s="4" t="s">
        <v>13</v>
      </c>
      <c r="F107" s="4" t="s">
        <v>356</v>
      </c>
      <c r="G107" s="5">
        <v>400000</v>
      </c>
      <c r="H107" s="6">
        <v>1030000</v>
      </c>
      <c r="I107" s="9">
        <f t="shared" si="14"/>
        <v>0.38834951456310679</v>
      </c>
      <c r="J107" s="16" t="s">
        <v>455</v>
      </c>
      <c r="L107" s="9">
        <f t="shared" si="15"/>
        <v>0.38834951456310679</v>
      </c>
      <c r="M107" s="12" t="str">
        <f t="shared" si="16"/>
        <v>Good</v>
      </c>
      <c r="N107" s="10"/>
      <c r="O107" s="11" t="e">
        <f t="shared" si="17"/>
        <v>#DIV/0!</v>
      </c>
      <c r="P107" s="12" t="str">
        <f t="shared" si="18"/>
        <v>Good</v>
      </c>
      <c r="Q107" s="10"/>
      <c r="R107" s="10" t="e">
        <f t="shared" si="19"/>
        <v>#DIV/0!</v>
      </c>
      <c r="S107" s="12" t="e">
        <f t="shared" si="20"/>
        <v>#DIV/0!</v>
      </c>
    </row>
    <row r="108" spans="1:19" x14ac:dyDescent="0.25">
      <c r="A108" s="2">
        <v>1880408</v>
      </c>
      <c r="B108" s="1">
        <v>45506</v>
      </c>
      <c r="C108" s="1" t="s">
        <v>357</v>
      </c>
      <c r="D108" s="4" t="s">
        <v>18</v>
      </c>
      <c r="E108" s="4" t="s">
        <v>15</v>
      </c>
      <c r="F108" s="4" t="s">
        <v>358</v>
      </c>
      <c r="G108" s="5">
        <v>165750</v>
      </c>
      <c r="H108" s="6">
        <v>195000</v>
      </c>
      <c r="I108" s="9">
        <f t="shared" si="14"/>
        <v>0.85</v>
      </c>
      <c r="J108" s="16" t="s">
        <v>370</v>
      </c>
      <c r="K108">
        <v>6.8801000000000001E-2</v>
      </c>
      <c r="L108" s="9">
        <f t="shared" si="15"/>
        <v>0.85</v>
      </c>
      <c r="M108" s="12" t="str">
        <f t="shared" si="16"/>
        <v>Good</v>
      </c>
      <c r="N108" s="10"/>
      <c r="O108" s="11" t="e">
        <f t="shared" si="17"/>
        <v>#DIV/0!</v>
      </c>
      <c r="P108" s="12" t="str">
        <f t="shared" si="18"/>
        <v>Good</v>
      </c>
      <c r="Q108" s="10"/>
      <c r="R108" s="10" t="e">
        <f t="shared" si="19"/>
        <v>#DIV/0!</v>
      </c>
      <c r="S108" s="12" t="e">
        <f t="shared" si="20"/>
        <v>#DIV/0!</v>
      </c>
    </row>
    <row r="109" spans="1:19" x14ac:dyDescent="0.25">
      <c r="A109" s="2">
        <v>1079877</v>
      </c>
      <c r="B109" s="1">
        <v>43470</v>
      </c>
      <c r="C109" s="1" t="s">
        <v>359</v>
      </c>
      <c r="D109" s="4" t="s">
        <v>360</v>
      </c>
      <c r="E109" s="4" t="s">
        <v>28</v>
      </c>
      <c r="F109" s="4" t="s">
        <v>361</v>
      </c>
      <c r="G109" s="5">
        <v>742500</v>
      </c>
      <c r="H109" s="6">
        <v>1270000</v>
      </c>
      <c r="I109" s="9">
        <f t="shared" si="14"/>
        <v>0.58464566929133854</v>
      </c>
      <c r="J109" s="16" t="s">
        <v>456</v>
      </c>
      <c r="K109">
        <v>0.1430998</v>
      </c>
      <c r="L109" s="9">
        <f t="shared" si="15"/>
        <v>0.58464566929133854</v>
      </c>
      <c r="M109" s="12" t="str">
        <f t="shared" si="16"/>
        <v>Good</v>
      </c>
      <c r="N109" s="10"/>
      <c r="O109" s="11" t="e">
        <f t="shared" si="17"/>
        <v>#DIV/0!</v>
      </c>
      <c r="P109" s="12" t="str">
        <f t="shared" si="18"/>
        <v>Good</v>
      </c>
      <c r="Q109" s="10"/>
      <c r="R109" s="10" t="e">
        <f t="shared" si="19"/>
        <v>#DIV/0!</v>
      </c>
      <c r="S109" s="12" t="e">
        <f t="shared" si="20"/>
        <v>#DIV/0!</v>
      </c>
    </row>
    <row r="110" spans="1:19" x14ac:dyDescent="0.25">
      <c r="A110" s="2">
        <v>1080097</v>
      </c>
      <c r="B110" s="1">
        <v>43563</v>
      </c>
      <c r="C110" s="1" t="s">
        <v>362</v>
      </c>
      <c r="D110" s="4" t="s">
        <v>363</v>
      </c>
      <c r="E110" s="4" t="s">
        <v>5</v>
      </c>
      <c r="F110" s="4" t="s">
        <v>364</v>
      </c>
      <c r="G110" s="5">
        <v>284000</v>
      </c>
      <c r="H110" s="6">
        <v>355000</v>
      </c>
      <c r="I110" s="9">
        <f t="shared" si="14"/>
        <v>0.8</v>
      </c>
      <c r="J110" s="16" t="s">
        <v>376</v>
      </c>
      <c r="K110">
        <v>7.7799400000000005E-2</v>
      </c>
      <c r="L110" s="9">
        <f t="shared" si="15"/>
        <v>0.8</v>
      </c>
      <c r="M110" s="12" t="str">
        <f t="shared" si="16"/>
        <v>Good</v>
      </c>
      <c r="N110" s="10"/>
      <c r="O110" s="11" t="e">
        <f t="shared" si="17"/>
        <v>#DIV/0!</v>
      </c>
      <c r="P110" s="12" t="str">
        <f t="shared" si="18"/>
        <v>Good</v>
      </c>
      <c r="Q110" s="10"/>
      <c r="R110" s="10" t="e">
        <f t="shared" si="19"/>
        <v>#DIV/0!</v>
      </c>
      <c r="S110" s="12" t="e">
        <f t="shared" si="20"/>
        <v>#DIV/0!</v>
      </c>
    </row>
    <row r="111" spans="1:19" x14ac:dyDescent="0.25">
      <c r="A111" s="3"/>
      <c r="B111" s="1"/>
      <c r="C111" s="1"/>
      <c r="D111" s="4"/>
      <c r="E111" s="4"/>
      <c r="F111" s="4"/>
      <c r="G111" s="5"/>
      <c r="H111" s="8"/>
      <c r="I111" s="9"/>
      <c r="J111" s="10"/>
      <c r="K111" s="10"/>
      <c r="L111" s="11"/>
      <c r="M111" s="12"/>
      <c r="N111" s="10"/>
      <c r="O111" s="11"/>
      <c r="P111" s="12"/>
      <c r="Q111" s="10"/>
      <c r="R111" s="10"/>
      <c r="S111" s="12"/>
    </row>
    <row r="112" spans="1:19" x14ac:dyDescent="0.25">
      <c r="A112" s="2"/>
      <c r="B112" s="1"/>
      <c r="C112" s="1"/>
      <c r="D112" s="4"/>
      <c r="E112" s="4"/>
      <c r="F112" s="4"/>
      <c r="G112" s="5"/>
      <c r="H112" s="6"/>
      <c r="I112" s="9"/>
      <c r="J112" s="10"/>
      <c r="K112" s="10"/>
      <c r="L112" s="11"/>
      <c r="M112" s="12"/>
      <c r="N112" s="10"/>
      <c r="O112" s="11"/>
      <c r="P112" s="12"/>
      <c r="Q112" s="10"/>
      <c r="R112" s="10"/>
      <c r="S112" s="12"/>
    </row>
    <row r="113" spans="1:19" x14ac:dyDescent="0.25">
      <c r="A113" s="2"/>
      <c r="B113" s="1"/>
      <c r="C113" s="1"/>
      <c r="D113" s="4"/>
      <c r="E113" s="4"/>
      <c r="F113" s="4"/>
      <c r="G113" s="5"/>
      <c r="H113" s="6"/>
      <c r="I113" s="9"/>
      <c r="J113" s="10"/>
      <c r="K113" s="10"/>
      <c r="L113" s="11"/>
      <c r="M113" s="12"/>
      <c r="N113" s="10"/>
      <c r="O113" s="11"/>
      <c r="P113" s="12"/>
      <c r="Q113" s="10"/>
      <c r="R113" s="10"/>
      <c r="S113" s="12"/>
    </row>
    <row r="114" spans="1:19" x14ac:dyDescent="0.25">
      <c r="A114" s="2"/>
      <c r="B114" s="1"/>
      <c r="C114" s="1"/>
      <c r="D114" s="4"/>
      <c r="E114" s="4"/>
      <c r="F114" s="4"/>
      <c r="G114" s="5"/>
      <c r="H114" s="6"/>
      <c r="I114" s="9"/>
      <c r="J114" s="10"/>
      <c r="K114" s="10"/>
      <c r="L114" s="11"/>
      <c r="M114" s="12"/>
      <c r="N114" s="10"/>
      <c r="O114" s="11"/>
      <c r="P114" s="12"/>
      <c r="Q114" s="10"/>
      <c r="R114" s="10"/>
      <c r="S114" s="12"/>
    </row>
    <row r="115" spans="1:19" x14ac:dyDescent="0.25">
      <c r="A115" s="2"/>
      <c r="B115" s="1"/>
      <c r="C115" s="1"/>
      <c r="D115" s="4"/>
      <c r="E115" s="4"/>
      <c r="F115" s="4"/>
      <c r="G115" s="5"/>
      <c r="H115" s="6"/>
      <c r="I115" s="9"/>
      <c r="J115" s="10"/>
      <c r="K115" s="10"/>
      <c r="L115" s="11"/>
      <c r="M115" s="12"/>
      <c r="N115" s="10"/>
      <c r="O115" s="11"/>
      <c r="P115" s="12"/>
      <c r="Q115" s="10"/>
      <c r="R115" s="10"/>
      <c r="S115" s="12"/>
    </row>
    <row r="116" spans="1:19" x14ac:dyDescent="0.25">
      <c r="A116" s="2"/>
      <c r="B116" s="1"/>
      <c r="C116" s="1"/>
      <c r="D116" s="4"/>
      <c r="E116" s="4"/>
      <c r="F116" s="4"/>
      <c r="G116" s="5"/>
      <c r="H116" s="6"/>
      <c r="I116" s="9"/>
      <c r="J116" s="10"/>
      <c r="K116" s="10"/>
      <c r="L116" s="11"/>
      <c r="M116" s="12"/>
      <c r="N116" s="10"/>
      <c r="O116" s="11"/>
      <c r="P116" s="12"/>
      <c r="Q116" s="10"/>
      <c r="R116" s="10"/>
      <c r="S116" s="12"/>
    </row>
    <row r="117" spans="1:19" x14ac:dyDescent="0.25">
      <c r="A117" s="2"/>
      <c r="B117" s="1"/>
      <c r="C117" s="1"/>
      <c r="D117" s="4"/>
      <c r="E117" s="4"/>
      <c r="F117" s="4"/>
      <c r="G117" s="5"/>
      <c r="H117" s="6"/>
      <c r="I117" s="9"/>
      <c r="J117" s="10"/>
      <c r="K117" s="10"/>
      <c r="L117" s="11"/>
      <c r="M117" s="12"/>
      <c r="N117" s="10"/>
      <c r="O117" s="11"/>
      <c r="P117" s="12"/>
      <c r="Q117" s="10"/>
      <c r="R117" s="10"/>
      <c r="S117" s="12"/>
    </row>
    <row r="118" spans="1:19" x14ac:dyDescent="0.25">
      <c r="A118" s="2"/>
      <c r="B118" s="1"/>
      <c r="C118" s="1"/>
      <c r="D118" s="4"/>
      <c r="E118" s="4"/>
      <c r="F118" s="4"/>
      <c r="G118" s="5"/>
      <c r="H118" s="6"/>
      <c r="I118" s="9"/>
      <c r="J118" s="10"/>
      <c r="K118" s="10"/>
      <c r="L118" s="11"/>
      <c r="M118" s="12"/>
      <c r="N118" s="10"/>
      <c r="O118" s="11"/>
      <c r="P118" s="12"/>
      <c r="Q118" s="10"/>
      <c r="R118" s="10"/>
      <c r="S118" s="12"/>
    </row>
    <row r="119" spans="1:19" x14ac:dyDescent="0.25">
      <c r="A119" s="2"/>
      <c r="B119" s="1"/>
      <c r="C119" s="1"/>
      <c r="D119" s="4"/>
      <c r="E119" s="4"/>
      <c r="F119" s="4"/>
      <c r="G119" s="5"/>
      <c r="H119" s="6"/>
      <c r="I119" s="9"/>
      <c r="J119" s="10"/>
      <c r="K119" s="10"/>
      <c r="L119" s="11"/>
      <c r="M119" s="12"/>
      <c r="N119" s="10"/>
      <c r="O119" s="11"/>
      <c r="P119" s="12"/>
      <c r="Q119" s="10"/>
      <c r="R119" s="10"/>
      <c r="S119" s="12"/>
    </row>
    <row r="120" spans="1:19" x14ac:dyDescent="0.25">
      <c r="A120" s="2"/>
      <c r="B120" s="1"/>
      <c r="C120" s="1"/>
      <c r="D120" s="4"/>
      <c r="E120" s="4"/>
      <c r="F120" s="4"/>
      <c r="G120" s="5"/>
      <c r="H120" s="6"/>
      <c r="I120" s="9"/>
      <c r="J120" s="10"/>
      <c r="K120" s="10"/>
      <c r="L120" s="11"/>
      <c r="M120" s="12"/>
      <c r="N120" s="10"/>
      <c r="O120" s="11"/>
      <c r="P120" s="12"/>
      <c r="Q120" s="10"/>
      <c r="R120" s="10"/>
      <c r="S120" s="12"/>
    </row>
    <row r="121" spans="1:19" x14ac:dyDescent="0.25">
      <c r="A121" s="3"/>
      <c r="B121" s="1"/>
      <c r="C121" s="1"/>
      <c r="D121" s="4"/>
      <c r="E121" s="4"/>
      <c r="F121" s="4"/>
      <c r="G121" s="5"/>
      <c r="H121" s="8"/>
      <c r="I121" s="9"/>
      <c r="J121" s="10"/>
      <c r="K121" s="10"/>
      <c r="L121" s="11"/>
      <c r="M121" s="12"/>
      <c r="N121" s="10"/>
      <c r="O121" s="11"/>
      <c r="P121" s="12"/>
      <c r="Q121" s="10"/>
      <c r="R121" s="10"/>
      <c r="S121" s="12"/>
    </row>
    <row r="122" spans="1:19" x14ac:dyDescent="0.25">
      <c r="A122" s="2"/>
      <c r="B122" s="1"/>
      <c r="C122" s="1"/>
      <c r="D122" s="4"/>
      <c r="E122" s="4"/>
      <c r="F122" s="4"/>
      <c r="G122" s="5"/>
      <c r="H122" s="6"/>
      <c r="I122" s="9"/>
      <c r="J122" s="10"/>
      <c r="K122" s="10"/>
      <c r="L122" s="11"/>
      <c r="M122" s="12"/>
      <c r="N122" s="10"/>
      <c r="O122" s="11"/>
      <c r="P122" s="12"/>
      <c r="Q122" s="10"/>
      <c r="R122" s="10"/>
      <c r="S122" s="12"/>
    </row>
    <row r="123" spans="1:19" x14ac:dyDescent="0.25">
      <c r="A123" s="2"/>
      <c r="B123" s="1"/>
      <c r="C123" s="1"/>
      <c r="D123" s="4"/>
      <c r="E123" s="4"/>
      <c r="F123" s="4"/>
      <c r="G123" s="5"/>
      <c r="H123" s="6"/>
      <c r="I123" s="9"/>
      <c r="J123" s="10"/>
      <c r="K123" s="10"/>
      <c r="L123" s="11"/>
      <c r="M123" s="12"/>
      <c r="N123" s="10"/>
      <c r="O123" s="11"/>
      <c r="P123" s="12"/>
      <c r="Q123" s="10"/>
      <c r="R123" s="10"/>
      <c r="S123" s="12"/>
    </row>
    <row r="124" spans="1:19" x14ac:dyDescent="0.25">
      <c r="A124" s="2"/>
      <c r="B124" s="1"/>
      <c r="C124" s="1"/>
      <c r="D124" s="4"/>
      <c r="E124" s="4"/>
      <c r="F124" s="4"/>
      <c r="G124" s="5"/>
      <c r="H124" s="6"/>
      <c r="I124" s="9"/>
      <c r="J124" s="10"/>
      <c r="K124" s="10"/>
      <c r="L124" s="11"/>
      <c r="M124" s="12"/>
      <c r="N124" s="10"/>
      <c r="O124" s="11"/>
      <c r="P124" s="12"/>
      <c r="Q124" s="10"/>
      <c r="R124" s="10"/>
      <c r="S124" s="12"/>
    </row>
    <row r="125" spans="1:19" x14ac:dyDescent="0.25">
      <c r="A125" s="2"/>
      <c r="B125" s="1"/>
      <c r="C125" s="1"/>
      <c r="D125" s="4"/>
      <c r="E125" s="4"/>
      <c r="F125" s="4"/>
      <c r="G125" s="5"/>
      <c r="H125" s="6"/>
      <c r="I125" s="9"/>
      <c r="J125" s="10"/>
      <c r="K125" s="10"/>
      <c r="L125" s="11"/>
      <c r="M125" s="12"/>
      <c r="N125" s="10"/>
      <c r="O125" s="11"/>
      <c r="P125" s="12"/>
      <c r="Q125" s="10"/>
      <c r="R125" s="10"/>
      <c r="S125" s="12"/>
    </row>
    <row r="126" spans="1:19" x14ac:dyDescent="0.25">
      <c r="A126" s="2"/>
      <c r="B126" s="1"/>
      <c r="C126" s="1"/>
      <c r="D126" s="4"/>
      <c r="E126" s="4"/>
      <c r="F126" s="4"/>
      <c r="G126" s="5"/>
      <c r="H126" s="6"/>
      <c r="I126" s="9"/>
      <c r="J126" s="10"/>
      <c r="K126" s="10"/>
      <c r="L126" s="11"/>
      <c r="M126" s="12"/>
      <c r="N126" s="10"/>
      <c r="O126" s="11"/>
      <c r="P126" s="12"/>
      <c r="Q126" s="10"/>
      <c r="R126" s="10"/>
      <c r="S126" s="12"/>
    </row>
    <row r="127" spans="1:19" x14ac:dyDescent="0.25">
      <c r="A127" s="2"/>
      <c r="B127" s="1"/>
      <c r="C127" s="1"/>
      <c r="D127" s="4"/>
      <c r="E127" s="4"/>
      <c r="F127" s="4"/>
      <c r="G127" s="5"/>
      <c r="H127" s="6"/>
      <c r="I127" s="9"/>
      <c r="J127" s="10"/>
      <c r="K127" s="10"/>
      <c r="L127" s="11"/>
      <c r="M127" s="12"/>
      <c r="N127" s="10"/>
      <c r="O127" s="11"/>
      <c r="P127" s="12"/>
      <c r="Q127" s="10"/>
      <c r="R127" s="10"/>
      <c r="S127" s="12"/>
    </row>
    <row r="128" spans="1:19" x14ac:dyDescent="0.25">
      <c r="A128" s="2"/>
      <c r="B128" s="1"/>
      <c r="C128" s="1"/>
      <c r="D128" s="4"/>
      <c r="E128" s="4"/>
      <c r="F128" s="4"/>
      <c r="G128" s="5"/>
      <c r="H128" s="6"/>
      <c r="I128" s="9"/>
      <c r="J128" s="10"/>
      <c r="K128" s="10"/>
      <c r="L128" s="11"/>
      <c r="M128" s="12"/>
      <c r="N128" s="10"/>
      <c r="O128" s="11"/>
      <c r="P128" s="12"/>
      <c r="Q128" s="10"/>
      <c r="R128" s="10"/>
      <c r="S128" s="12"/>
    </row>
    <row r="129" spans="1:19" x14ac:dyDescent="0.25">
      <c r="A129" s="2"/>
      <c r="B129" s="1"/>
      <c r="C129" s="1"/>
      <c r="D129" s="4"/>
      <c r="E129" s="4"/>
      <c r="F129" s="4"/>
      <c r="G129" s="5"/>
      <c r="H129" s="6"/>
      <c r="I129" s="9"/>
      <c r="J129" s="10"/>
      <c r="K129" s="10"/>
      <c r="L129" s="11"/>
      <c r="M129" s="12"/>
      <c r="N129" s="10"/>
      <c r="O129" s="11"/>
      <c r="P129" s="12"/>
      <c r="Q129" s="10"/>
      <c r="R129" s="10"/>
      <c r="S129" s="12"/>
    </row>
    <row r="130" spans="1:19" x14ac:dyDescent="0.25">
      <c r="A130" s="2"/>
      <c r="B130" s="1"/>
      <c r="C130" s="1"/>
      <c r="D130" s="4"/>
      <c r="E130" s="4"/>
      <c r="F130" s="4"/>
      <c r="G130" s="5"/>
      <c r="H130" s="6"/>
      <c r="I130" s="9"/>
      <c r="J130" s="10"/>
      <c r="K130" s="10"/>
      <c r="L130" s="11"/>
      <c r="M130" s="12"/>
      <c r="N130" s="10"/>
      <c r="O130" s="11"/>
      <c r="P130" s="12"/>
      <c r="Q130" s="10"/>
      <c r="R130" s="10"/>
      <c r="S130" s="12"/>
    </row>
    <row r="131" spans="1:19" x14ac:dyDescent="0.25">
      <c r="A131" s="2"/>
      <c r="B131" s="1"/>
      <c r="C131" s="1"/>
      <c r="D131" s="4"/>
      <c r="E131" s="4"/>
      <c r="F131" s="4"/>
      <c r="G131" s="5"/>
      <c r="H131" s="6"/>
      <c r="I131" s="9"/>
      <c r="J131" s="10"/>
      <c r="K131" s="10"/>
      <c r="L131" s="11"/>
      <c r="M131" s="12"/>
      <c r="N131" s="10"/>
      <c r="O131" s="11"/>
      <c r="P131" s="12"/>
      <c r="Q131" s="10"/>
      <c r="R131" s="10"/>
      <c r="S131" s="12"/>
    </row>
    <row r="132" spans="1:19" x14ac:dyDescent="0.25">
      <c r="A132" s="2"/>
      <c r="B132" s="1"/>
      <c r="C132" s="1"/>
      <c r="D132" s="4"/>
      <c r="E132" s="4"/>
      <c r="F132" s="4"/>
      <c r="G132" s="5"/>
      <c r="H132" s="7"/>
      <c r="I132" s="9"/>
      <c r="J132" s="10"/>
      <c r="K132" s="10"/>
      <c r="L132" s="11"/>
      <c r="M132" s="12"/>
      <c r="N132" s="10"/>
      <c r="O132" s="11"/>
      <c r="P132" s="12"/>
      <c r="Q132" s="10"/>
      <c r="R132" s="10"/>
      <c r="S132" s="12"/>
    </row>
    <row r="133" spans="1:19" x14ac:dyDescent="0.25">
      <c r="A133" s="2"/>
      <c r="B133" s="1"/>
      <c r="C133" s="1"/>
      <c r="D133" s="4"/>
      <c r="E133" s="4"/>
      <c r="F133" s="4"/>
      <c r="G133" s="5"/>
      <c r="H133" s="7"/>
      <c r="I133" s="9"/>
      <c r="J133" s="10"/>
      <c r="K133" s="10"/>
      <c r="L133" s="11"/>
      <c r="M133" s="12"/>
      <c r="N133" s="10"/>
      <c r="O133" s="11"/>
      <c r="P133" s="12"/>
      <c r="Q133" s="10"/>
      <c r="R133" s="10"/>
      <c r="S133" s="12"/>
    </row>
    <row r="134" spans="1:19" x14ac:dyDescent="0.25">
      <c r="A134" s="2"/>
      <c r="B134" s="1"/>
      <c r="C134" s="1"/>
      <c r="D134" s="4"/>
      <c r="E134" s="4"/>
      <c r="F134" s="4"/>
      <c r="G134" s="5"/>
      <c r="H134" s="7"/>
      <c r="I134" s="9"/>
      <c r="J134" s="10"/>
      <c r="K134" s="10"/>
      <c r="L134" s="11"/>
      <c r="M134" s="12"/>
      <c r="N134" s="10"/>
      <c r="O134" s="11"/>
      <c r="P134" s="12"/>
      <c r="Q134" s="10"/>
      <c r="R134" s="10"/>
      <c r="S134" s="12"/>
    </row>
    <row r="135" spans="1:19" x14ac:dyDescent="0.25">
      <c r="A135" s="2"/>
      <c r="B135" s="1"/>
      <c r="C135" s="1"/>
      <c r="D135" s="4"/>
      <c r="E135" s="4"/>
      <c r="F135" s="4"/>
      <c r="G135" s="5"/>
      <c r="H135" s="7"/>
      <c r="I135" s="9"/>
      <c r="J135" s="10"/>
      <c r="K135" s="10"/>
      <c r="L135" s="11"/>
      <c r="M135" s="12"/>
      <c r="N135" s="10"/>
      <c r="O135" s="11"/>
      <c r="P135" s="12"/>
      <c r="Q135" s="10"/>
      <c r="R135" s="10"/>
      <c r="S135" s="12"/>
    </row>
    <row r="136" spans="1:19" x14ac:dyDescent="0.25">
      <c r="A136" s="3"/>
      <c r="B136" s="1"/>
      <c r="C136" s="1"/>
      <c r="D136" s="4"/>
      <c r="E136" s="4"/>
      <c r="F136" s="4"/>
      <c r="G136" s="5"/>
      <c r="H136" s="8"/>
      <c r="I136" s="9"/>
      <c r="J136" s="10"/>
      <c r="K136" s="10"/>
      <c r="L136" s="11"/>
      <c r="M136" s="12"/>
      <c r="N136" s="10"/>
      <c r="O136" s="11"/>
      <c r="P136" s="12"/>
      <c r="Q136" s="10"/>
      <c r="R136" s="10"/>
      <c r="S136" s="12"/>
    </row>
    <row r="137" spans="1:19" x14ac:dyDescent="0.25">
      <c r="A137" s="3"/>
      <c r="B137" s="1"/>
      <c r="C137" s="1"/>
      <c r="D137" s="4"/>
      <c r="E137" s="4"/>
      <c r="F137" s="4"/>
      <c r="G137" s="5"/>
      <c r="H137" s="8"/>
      <c r="I137" s="9"/>
      <c r="J137" s="10"/>
      <c r="K137" s="10"/>
      <c r="L137" s="11"/>
      <c r="M137" s="12"/>
      <c r="N137" s="10"/>
      <c r="O137" s="11"/>
      <c r="P137" s="12"/>
      <c r="Q137" s="10"/>
      <c r="R137" s="10"/>
      <c r="S137" s="12"/>
    </row>
    <row r="138" spans="1:19" x14ac:dyDescent="0.25">
      <c r="A138" s="3"/>
      <c r="B138" s="1"/>
      <c r="C138" s="1"/>
      <c r="D138" s="4"/>
      <c r="E138" s="4"/>
      <c r="F138" s="4"/>
      <c r="G138" s="5"/>
      <c r="H138" s="8"/>
      <c r="I138" s="9"/>
      <c r="J138" s="10"/>
      <c r="K138" s="10"/>
      <c r="L138" s="11"/>
      <c r="M138" s="12"/>
      <c r="N138" s="10"/>
      <c r="O138" s="11"/>
      <c r="P138" s="12"/>
      <c r="Q138" s="10"/>
      <c r="R138" s="10"/>
      <c r="S138" s="12"/>
    </row>
    <row r="139" spans="1:19" x14ac:dyDescent="0.25">
      <c r="A139" s="3"/>
      <c r="B139" s="1"/>
      <c r="C139" s="1"/>
      <c r="D139" s="4"/>
      <c r="E139" s="4"/>
      <c r="F139" s="4"/>
      <c r="G139" s="5"/>
      <c r="H139" s="8"/>
      <c r="I139" s="9"/>
      <c r="J139" s="10"/>
      <c r="K139" s="10"/>
      <c r="L139" s="11"/>
      <c r="M139" s="12"/>
      <c r="N139" s="10"/>
      <c r="O139" s="11"/>
      <c r="P139" s="12"/>
      <c r="Q139" s="10"/>
      <c r="R139" s="10"/>
      <c r="S139" s="12"/>
    </row>
    <row r="140" spans="1:19" x14ac:dyDescent="0.25">
      <c r="A140" s="3"/>
      <c r="B140" s="1"/>
      <c r="C140" s="1"/>
      <c r="D140" s="4"/>
      <c r="E140" s="4"/>
      <c r="F140" s="4"/>
      <c r="G140" s="5"/>
      <c r="H140" s="8"/>
      <c r="I140" s="9"/>
      <c r="J140" s="10"/>
      <c r="K140" s="10"/>
      <c r="L140" s="11"/>
      <c r="M140" s="12"/>
      <c r="N140" s="10"/>
      <c r="O140" s="11"/>
      <c r="P140" s="12"/>
      <c r="Q140" s="10"/>
      <c r="R140" s="10"/>
      <c r="S140" s="12"/>
    </row>
    <row r="141" spans="1:19" x14ac:dyDescent="0.25">
      <c r="A141" s="3"/>
      <c r="B141" s="1"/>
      <c r="C141" s="1"/>
      <c r="D141" s="4"/>
      <c r="E141" s="4"/>
      <c r="F141" s="4"/>
      <c r="G141" s="5"/>
      <c r="H141" s="8"/>
      <c r="I141" s="9"/>
      <c r="J141" s="10"/>
      <c r="K141" s="10"/>
      <c r="L141" s="11"/>
      <c r="M141" s="12"/>
      <c r="N141" s="10"/>
      <c r="O141" s="11"/>
      <c r="P141" s="12"/>
      <c r="Q141" s="10"/>
      <c r="R141" s="10"/>
      <c r="S141" s="12"/>
    </row>
    <row r="142" spans="1:19" x14ac:dyDescent="0.25">
      <c r="A142" s="3"/>
      <c r="B142" s="1"/>
      <c r="C142" s="1"/>
      <c r="D142" s="4"/>
      <c r="E142" s="4"/>
      <c r="F142" s="4"/>
      <c r="G142" s="5"/>
      <c r="H142" s="8"/>
      <c r="I142" s="9"/>
      <c r="J142" s="10"/>
      <c r="K142" s="10"/>
      <c r="L142" s="11"/>
      <c r="M142" s="12"/>
      <c r="N142" s="10"/>
      <c r="O142" s="11"/>
      <c r="P142" s="12"/>
      <c r="Q142" s="10"/>
      <c r="R142" s="10"/>
      <c r="S142" s="12"/>
    </row>
    <row r="143" spans="1:19" x14ac:dyDescent="0.25">
      <c r="A143" s="3"/>
      <c r="B143" s="1"/>
      <c r="C143" s="1"/>
      <c r="D143" s="4"/>
      <c r="E143" s="4"/>
      <c r="F143" s="4"/>
      <c r="G143" s="5"/>
      <c r="H143" s="8"/>
      <c r="I143" s="9"/>
      <c r="J143" s="10"/>
      <c r="K143" s="10"/>
      <c r="L143" s="11"/>
      <c r="M143" s="12"/>
      <c r="N143" s="10"/>
      <c r="O143" s="11"/>
      <c r="P143" s="12"/>
      <c r="Q143" s="10"/>
      <c r="R143" s="10"/>
      <c r="S143" s="12"/>
    </row>
    <row r="144" spans="1:19" x14ac:dyDescent="0.25">
      <c r="A144" s="3"/>
      <c r="B144" s="1"/>
      <c r="C144" s="1"/>
      <c r="D144" s="4"/>
      <c r="E144" s="4"/>
      <c r="F144" s="4"/>
      <c r="G144" s="5"/>
      <c r="H144" s="8"/>
      <c r="I144" s="9"/>
      <c r="J144" s="10"/>
      <c r="K144" s="10"/>
      <c r="L144" s="11"/>
      <c r="M144" s="12"/>
      <c r="N144" s="10"/>
      <c r="O144" s="11"/>
      <c r="P144" s="12"/>
      <c r="Q144" s="10"/>
      <c r="R144" s="10"/>
      <c r="S144" s="12"/>
    </row>
    <row r="145" spans="1:19" x14ac:dyDescent="0.25">
      <c r="A145" s="3"/>
      <c r="B145" s="1"/>
      <c r="C145" s="1"/>
      <c r="D145" s="4"/>
      <c r="E145" s="4"/>
      <c r="F145" s="4"/>
      <c r="G145" s="5"/>
      <c r="H145" s="8"/>
      <c r="I145" s="9"/>
      <c r="J145" s="10"/>
      <c r="K145" s="10"/>
      <c r="L145" s="11"/>
      <c r="M145" s="12"/>
      <c r="N145" s="10"/>
      <c r="O145" s="11"/>
      <c r="P145" s="12"/>
      <c r="Q145" s="10"/>
      <c r="R145" s="10"/>
      <c r="S145" s="12"/>
    </row>
  </sheetData>
  <autoFilter ref="A1:S145" xr:uid="{4C427236-531A-4686-AD78-39EFF8CB4D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Maron</dc:creator>
  <cp:lastModifiedBy>Nick Roberson</cp:lastModifiedBy>
  <dcterms:created xsi:type="dcterms:W3CDTF">2025-04-11T18:21:13Z</dcterms:created>
  <dcterms:modified xsi:type="dcterms:W3CDTF">2025-10-31T05:34:57Z</dcterms:modified>
</cp:coreProperties>
</file>